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енчмарк" sheetId="1" r:id="rId5"/>
    <sheet state="visible" name="Статистика Анализ" sheetId="2" r:id="rId6"/>
    <sheet state="visible" name="Диаграммы" sheetId="3" r:id="rId7"/>
  </sheets>
  <definedNames/>
  <calcPr/>
</workbook>
</file>

<file path=xl/sharedStrings.xml><?xml version="1.0" encoding="utf-8"?>
<sst xmlns="http://schemas.openxmlformats.org/spreadsheetml/2006/main" count="112" uniqueCount="94">
  <si>
    <t>Дебаг-тесты на разных устройствах. Тест ведётся на одних и тех же бахах данных</t>
  </si>
  <si>
    <t>51546 записей</t>
  </si>
  <si>
    <t>1. ТЕСТИРОВАНИЕ ПО ЗАГРУЗКЕ И НОРМАЛИЗАЦИИ</t>
  </si>
  <si>
    <t>2. Поиск - параметры: (Любой - 300 - 2000 - y) - по 799 записям</t>
  </si>
  <si>
    <t>Устройство</t>
  </si>
  <si>
    <t>ЦП + Тип памяти</t>
  </si>
  <si>
    <t>ОЗУ (ГБ)</t>
  </si>
  <si>
    <t>Тестирование</t>
  </si>
  <si>
    <t>Загрузка записей (мс)</t>
  </si>
  <si>
    <t>Нормализация (мс)</t>
  </si>
  <si>
    <t>Индексы построены (мс)</t>
  </si>
  <si>
    <t>Итого выполнение (мс)</t>
  </si>
  <si>
    <t>Память ИТОГО (КБ)</t>
  </si>
  <si>
    <t>Выполнения в среднем (мкс)</t>
  </si>
  <si>
    <t>Линейный (мкс)</t>
  </si>
  <si>
    <t>Индексный (мкс)</t>
  </si>
  <si>
    <t>Линейный - средний (мкс)</t>
  </si>
  <si>
    <t>Индексный - средний (мкс)</t>
  </si>
  <si>
    <t>Ускорение T_linear/T_index</t>
  </si>
  <si>
    <t>Устройство 1 (Laptop)</t>
  </si>
  <si>
    <t>12th Gen Intel(R) Core(TM) i5-12450H</t>
  </si>
  <si>
    <t>устройство 2 (Desktop)</t>
  </si>
  <si>
    <t xml:space="preserve">AMD FX(tm)-8300 Eight-Core Processor </t>
  </si>
  <si>
    <t>устройство 3 (Desktop)</t>
  </si>
  <si>
    <t>AMD Ryzen 5 3500X 6-Core Processor</t>
  </si>
  <si>
    <t>устройство 4 (Laptop)</t>
  </si>
  <si>
    <t>AMD Ryzen 7 5800H with Radeon Graphics</t>
  </si>
  <si>
    <t>СРЕДНЕЕ ГЕОМ УСКОРЕНИЕ</t>
  </si>
  <si>
    <t>устройство 5 (Server)</t>
  </si>
  <si>
    <t>13th Gen Intel(R) Core(TM) i5-13400</t>
  </si>
  <si>
    <t>В среднем по гетерогенной группе устройств алгоритм дает ускорение в 3,91  раз</t>
  </si>
  <si>
    <t>устройство 6 (Tablet)</t>
  </si>
  <si>
    <t>Samsung Exynos 1380, 8-ядерный, 2.4 ГГц, 5 нм, Android 16</t>
  </si>
  <si>
    <t>устройство 7 (Phone)</t>
  </si>
  <si>
    <t>Qualcomm Snapdragon 870 Octa-Core, Android 14</t>
  </si>
  <si>
    <t>устройство 8 (Laptop)</t>
  </si>
  <si>
    <t>Intel Core Ultra 7</t>
  </si>
  <si>
    <t>устройство 9 (Desktop)</t>
  </si>
  <si>
    <t>Intel(R) Core(TM) i5-9400 CPU @ 2,90 GHz</t>
  </si>
  <si>
    <t>Устройство 1 (Laptop) x86-64</t>
  </si>
  <si>
    <t>12th Gen Intel(R) Core(TM) i5-12450H x86-64</t>
  </si>
  <si>
    <t>устройство 2 (Desktop) x86-64</t>
  </si>
  <si>
    <t>AMD FX(tm)-8300 Eight-Core Processor x86-64</t>
  </si>
  <si>
    <t>устройство 3 (Desktop) x86-64</t>
  </si>
  <si>
    <t>AMD Ryzen 5 3500X 6-Core Processor x86-64</t>
  </si>
  <si>
    <t>устройство 4 (Laptop) x86-64</t>
  </si>
  <si>
    <t>AMD Ryzen 7 5800H with Radeon Graphics x86-64</t>
  </si>
  <si>
    <t>устройство 5 (Server) x86-64</t>
  </si>
  <si>
    <t>13th Gen Intel(R) Core(TM) i5-13400 x86-64</t>
  </si>
  <si>
    <t>устройство 6 (Tablet) ARMv8.2‑A</t>
  </si>
  <si>
    <t>Samsung Exynos 1380, 8-ядерный, 2.4 ГГц, 5 нм, Android 16 ARMv8.2‑A</t>
  </si>
  <si>
    <t>устройство 7 (Phone) ARMv8.2‑A</t>
  </si>
  <si>
    <t>Qualcomm Snapdragon 870 Octa-Core, Android 14 ARMv8.2‑A</t>
  </si>
  <si>
    <t>устройство 8 (Laptop) x86-64</t>
  </si>
  <si>
    <t>Intel Core Ultra 7 x86-64</t>
  </si>
  <si>
    <t>устройство 9 (Desktop) x86-64</t>
  </si>
  <si>
    <t>Intel(R) Core(TM) i5-9400 CPU @ 2,90 GHz x86-64</t>
  </si>
  <si>
    <t xml:space="preserve"> ID</t>
  </si>
  <si>
    <t>Процессор</t>
  </si>
  <si>
    <t>Микроархитектура</t>
  </si>
  <si>
    <t>L3 Кэш (МБ)</t>
  </si>
  <si>
    <t>ОЗУ Тип</t>
  </si>
  <si>
    <t>Ускорение</t>
  </si>
  <si>
    <t>Время загрузки (мс)</t>
  </si>
  <si>
    <t>x86-64</t>
  </si>
  <si>
    <t>DDR4</t>
  </si>
  <si>
    <t>DDR3</t>
  </si>
  <si>
    <t>DDR5</t>
  </si>
  <si>
    <t>ARMv8.2‑A</t>
  </si>
  <si>
    <t>LPDDR</t>
  </si>
  <si>
    <t>DIMM</t>
  </si>
  <si>
    <t>КОРРЕЛЯЦИИ</t>
  </si>
  <si>
    <t>L3 Кэш vs Ускорение</t>
  </si>
  <si>
    <t>Слабая отрицательная связь. Это означает, что алгоритм (индекс) выигрывает везде, но на процессорах с огромным кэшем его относительное преимущество чуть-чуть «подъедается» сверхбыстрым линейным поиском.</t>
  </si>
  <si>
    <t>Среднее ускорение (арифм.)</t>
  </si>
  <si>
    <t>L3 Кэш vs Линейный поиск</t>
  </si>
  <si>
    <t>Это умеренная отрицательная корреляция. Чем больше L3 кэш, тем меньше времени занимает линейный поиск. Это подтверждает гипотезу: аппаратный prefetcher процессора эффективно использует кэш для «проглатывания» последовательных данных.</t>
  </si>
  <si>
    <t>Среднее ускорение (геом.)</t>
  </si>
  <si>
    <t>ОЗУ vs Ускорение</t>
  </si>
  <si>
    <t>Отрицательная корреляция между объемом ОЗУ и коэффициентом ускорения ($r = -0,38$) объясняется увеличением пропускной способности подсистемы памяти на современных конфигурациях. Высокоскоростная память (DDR4/DDR5) частично нивелирует задержки, возникающие при последовательном сканировании данных (линейный поиск), что приводит к некоторому снижению относительного превосходства индексного поиска по сравнению с системами, оснащенными медленной памятью (DDR3)</t>
  </si>
  <si>
    <t>Медиана ускорения</t>
  </si>
  <si>
    <t>ОЗУ vs Линейный поиск</t>
  </si>
  <si>
    <t>Сильная отрицательная корреляция. На системах с большим объемом и скоростью ОЗУ (DDR4/DDR5) линейный поиск ускоряется значительнее всего.</t>
  </si>
  <si>
    <t>Станд. отклонение ускорения</t>
  </si>
  <si>
    <t>Среднее ускорение x86-64</t>
  </si>
  <si>
    <t>Коэффициент вариации</t>
  </si>
  <si>
    <r>
      <rPr>
        <rFont val="Arial"/>
        <color theme="1"/>
      </rPr>
      <t xml:space="preserve">Интерпретация: Если CV &gt; 33%, совокупность считается неоднородной. Это научно доказывает тезис: </t>
    </r>
    <r>
      <rPr>
        <rFont val="Arial"/>
        <b/>
        <color theme="1"/>
      </rPr>
      <t>«Алгоритм ведет себя существенно по-разному на разных архитектурах».</t>
    </r>
  </si>
  <si>
    <t>Среднее ускорение ARM</t>
  </si>
  <si>
    <t>x86 vs ARM по ускорению</t>
  </si>
  <si>
    <t>Алгоритм индексной фильтрации на архитектуре x86-64 демонстрирует в среднем на 45% более высокую эффективность (относительно линейного поиска), чем на архитектуре ARM.</t>
  </si>
  <si>
    <t>Экспериментальные данные подтверждают превосходство предложенного алгоритма над линейным поиском на всех типах устройств. Однако выявлена отрицательная корреляция между объемом L3-кэша и кратностью ускорения ($r = -0.13$). Это объясняется тем, что современные высокопроизводительные процессоры с большими объемами кэш-памяти эффективнее оптимизируют последовательное чтение (линейный поиск), что незначительно сокращает относительный разрыв в производительности по сравнению с системами, обладающими малым объемом кэш-памяти</t>
  </si>
  <si>
    <t>Разрыв в эффективности</t>
  </si>
  <si>
    <t>математически доказал, что архитектурные особенности x86 (объем кэша, работа с памятью) позволяют алгоритму раскрыться на 45% эффективнее, чем на мобильных платформах</t>
  </si>
  <si>
    <t>на системах с L3 &gt; 16 МБ наблюдается «сближение» результатов из-за аппаратной оптимизации линейного чтения.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</si>
</sst>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b/>
      <sz val="17.0"/>
      <color theme="1"/>
      <name val="Arial"/>
      <scheme val="minor"/>
    </font>
    <font>
      <b/>
      <sz val="19.0"/>
      <color theme="1"/>
      <name val="Arial"/>
      <scheme val="minor"/>
    </font>
    <font>
      <b/>
      <sz val="24.0"/>
      <color theme="1"/>
      <name val="Arial"/>
      <scheme val="minor"/>
    </font>
    <font>
      <sz val="10.0"/>
      <color theme="1"/>
      <name val="Times New Roman"/>
    </font>
    <font>
      <sz val="11.0"/>
      <color theme="1"/>
      <name val="Quote-cjk-patch"/>
    </font>
    <font>
      <sz val="11.0"/>
      <color theme="1"/>
      <name val="Arial"/>
    </font>
    <font>
      <color theme="1"/>
      <name val="Menlo"/>
    </font>
    <font>
      <b/>
      <sz val="11.0"/>
      <color theme="1"/>
      <name val="Quote-cjk-patch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readingOrder="0" shrinkToFit="0" vertical="center" wrapText="1"/>
    </xf>
    <xf borderId="4" fillId="8" fontId="5" numFmtId="0" xfId="0" applyAlignment="1" applyBorder="1" applyFill="1" applyFont="1">
      <alignment horizontal="center" readingOrder="0" shrinkToFit="0" vertical="center" wrapText="1"/>
    </xf>
    <xf borderId="4" fillId="9" fontId="5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9" fillId="0" fontId="5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11" fillId="0" fontId="1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horizontal="center" readingOrder="0" shrinkToFit="0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2" fillId="0" fontId="5" numFmtId="0" xfId="0" applyAlignment="1" applyBorder="1" applyFont="1">
      <alignment horizontal="center" readingOrder="0" shrinkToFit="0" wrapText="1"/>
    </xf>
    <xf borderId="14" fillId="0" fontId="1" numFmtId="0" xfId="0" applyAlignment="1" applyBorder="1" applyFont="1">
      <alignment horizontal="center" readingOrder="0" shrinkToFit="0" wrapText="1"/>
    </xf>
    <xf borderId="14" fillId="0" fontId="5" numFmtId="0" xfId="0" applyAlignment="1" applyBorder="1" applyFont="1">
      <alignment horizontal="center" shrinkToFit="0" wrapText="1"/>
    </xf>
    <xf borderId="15" fillId="0" fontId="1" numFmtId="0" xfId="0" applyAlignment="1" applyBorder="1" applyFont="1">
      <alignment horizontal="center" readingOrder="0" shrinkToFit="0" wrapText="1"/>
    </xf>
    <xf borderId="14" fillId="0" fontId="3" numFmtId="0" xfId="0" applyBorder="1" applyFont="1"/>
    <xf borderId="15" fillId="0" fontId="3" numFmtId="0" xfId="0" applyBorder="1" applyFont="1"/>
    <xf borderId="0" fillId="10" fontId="5" numFmtId="0" xfId="0" applyAlignment="1" applyFill="1" applyFont="1">
      <alignment horizontal="center" readingOrder="0" shrinkToFit="0" vertical="center" wrapText="1"/>
    </xf>
    <xf borderId="0" fillId="11" fontId="9" numFmtId="0" xfId="0" applyAlignment="1" applyFill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2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16" fillId="0" fontId="15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Производительность процессоров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'Статистика Анализ'!$C$2:$C$10</c:f>
            </c:strRef>
          </c:cat>
          <c:val>
            <c:numRef>
              <c:f>'Статистика Анализ'!$D$2:$D$10</c:f>
              <c:numCache/>
            </c:numRef>
          </c:val>
        </c:ser>
        <c:ser>
          <c:idx val="1"/>
          <c:order val="1"/>
          <c:cat>
            <c:strRef>
              <c:f>'Статистика Анализ'!$C$2:$C$10</c:f>
            </c:strRef>
          </c:cat>
          <c:val>
            <c:numRef>
              <c:f>'Статистика Анализ'!$J$2:$J$10</c:f>
              <c:numCache/>
            </c:numRef>
          </c:val>
        </c:ser>
        <c:axId val="814216817"/>
        <c:axId val="1870100162"/>
      </c:bar3DChart>
      <c:catAx>
        <c:axId val="8142168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870100162"/>
      </c:catAx>
      <c:valAx>
        <c:axId val="18701001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8142168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v>Линейный Поиск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Анализ'!$U$31</c:f>
            </c:strRef>
          </c:cat>
          <c:val>
            <c:numRef>
              <c:f>'Статистика Анализ'!$C$2:$C$10</c:f>
              <c:numCache/>
            </c:numRef>
          </c:val>
        </c:ser>
        <c:ser>
          <c:idx val="1"/>
          <c:order val="1"/>
          <c:tx>
            <c:v>Индексный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'Статистика Анализ'!$U$31</c:f>
            </c:strRef>
          </c:cat>
          <c:val>
            <c:numRef>
              <c:f>'Статистика Анализ'!$H$2:$H$10</c:f>
              <c:numCache/>
            </c:numRef>
          </c:val>
        </c:ser>
        <c:ser>
          <c:idx val="2"/>
          <c:order val="2"/>
          <c:cat>
            <c:strRef>
              <c:f>'Статистика Анализ'!$U$31</c:f>
            </c:strRef>
          </c:cat>
          <c:val>
            <c:numRef>
              <c:f>'Статистика Анализ'!$I$2:$I$10</c:f>
              <c:numCache/>
            </c:numRef>
          </c:val>
        </c:ser>
        <c:axId val="1276435913"/>
        <c:axId val="2073569206"/>
      </c:bar3DChart>
      <c:catAx>
        <c:axId val="12764359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569206"/>
      </c:catAx>
      <c:valAx>
        <c:axId val="20735692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4359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v>Линейный Поиск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Анализ'!$U$31</c:f>
            </c:strRef>
          </c:cat>
          <c:val>
            <c:numRef>
              <c:f>'Статистика Анализ'!$C$2:$C$10</c:f>
              <c:numCache/>
            </c:numRef>
          </c:val>
        </c:ser>
        <c:ser>
          <c:idx val="1"/>
          <c:order val="1"/>
          <c:tx>
            <c:v>Индексный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'Статистика Анализ'!$U$31</c:f>
            </c:strRef>
          </c:cat>
          <c:val>
            <c:numRef>
              <c:f>'Статистика Анализ'!$H$2:$H$10</c:f>
              <c:numCache/>
            </c:numRef>
          </c:val>
        </c:ser>
        <c:ser>
          <c:idx val="2"/>
          <c:order val="2"/>
          <c:cat>
            <c:strRef>
              <c:f>'Статистика Анализ'!$U$31</c:f>
            </c:strRef>
          </c:cat>
          <c:val>
            <c:numRef>
              <c:f>'Статистика Анализ'!$I$2:$I$10</c:f>
              <c:numCache/>
            </c:numRef>
          </c:val>
        </c:ser>
        <c:axId val="86939151"/>
        <c:axId val="799847494"/>
      </c:bar3DChart>
      <c:catAx>
        <c:axId val="869391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847494"/>
      </c:catAx>
      <c:valAx>
        <c:axId val="7998474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391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Производительность процессоров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'Статистика Анализ'!$C$2:$C$10</c:f>
            </c:strRef>
          </c:cat>
          <c:val>
            <c:numRef>
              <c:f>'Статистика Анализ'!$D$2:$D$10</c:f>
              <c:numCache/>
            </c:numRef>
          </c:val>
        </c:ser>
        <c:ser>
          <c:idx val="1"/>
          <c:order val="1"/>
          <c:cat>
            <c:strRef>
              <c:f>'Статистика Анализ'!$C$2:$C$10</c:f>
            </c:strRef>
          </c:cat>
          <c:val>
            <c:numRef>
              <c:f>'Статистика Анализ'!$J$2:$J$10</c:f>
              <c:numCache/>
            </c:numRef>
          </c:val>
        </c:ser>
        <c:axId val="2097581841"/>
        <c:axId val="1260179938"/>
      </c:bar3DChart>
      <c:catAx>
        <c:axId val="20975818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260179938"/>
      </c:catAx>
      <c:valAx>
        <c:axId val="12601799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20975818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3.png"/><Relationship Id="rId7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390525</xdr:colOff>
      <xdr:row>0</xdr:row>
      <xdr:rowOff>0</xdr:rowOff>
    </xdr:from>
    <xdr:ext cx="10010775" cy="52006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390525</xdr:colOff>
      <xdr:row>17</xdr:row>
      <xdr:rowOff>523875</xdr:rowOff>
    </xdr:from>
    <xdr:ext cx="10010775" cy="61912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9525</xdr:colOff>
      <xdr:row>16</xdr:row>
      <xdr:rowOff>19050</xdr:rowOff>
    </xdr:from>
    <xdr:ext cx="1390650" cy="476250"/>
    <xdr:pic>
      <xdr:nvPicPr>
        <xdr:cNvPr id="0" name="image5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17</xdr:row>
      <xdr:rowOff>219075</xdr:rowOff>
    </xdr:from>
    <xdr:ext cx="2838450" cy="619125"/>
    <xdr:pic>
      <xdr:nvPicPr>
        <xdr:cNvPr id="0" name="image2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18</xdr:row>
      <xdr:rowOff>219075</xdr:rowOff>
    </xdr:from>
    <xdr:ext cx="1590675" cy="571500"/>
    <xdr:pic>
      <xdr:nvPicPr>
        <xdr:cNvPr id="0" name="image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19</xdr:row>
      <xdr:rowOff>9525</xdr:rowOff>
    </xdr:from>
    <xdr:ext cx="2171700" cy="838200"/>
    <xdr:pic>
      <xdr:nvPicPr>
        <xdr:cNvPr id="0" name="image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1943100</xdr:colOff>
      <xdr:row>24</xdr:row>
      <xdr:rowOff>561975</xdr:rowOff>
    </xdr:from>
    <xdr:ext cx="3352800" cy="1247775"/>
    <xdr:pic>
      <xdr:nvPicPr>
        <xdr:cNvPr id="0" name="image4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142875</xdr:rowOff>
    </xdr:from>
    <xdr:ext cx="10010775" cy="61912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19050</xdr:rowOff>
    </xdr:from>
    <xdr:ext cx="10010775" cy="52006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6.38"/>
    <col customWidth="1" min="3" max="3" width="44.88"/>
    <col customWidth="1" min="4" max="4" width="15.63"/>
    <col customWidth="1" min="5" max="5" width="12.5"/>
    <col customWidth="1" min="6" max="6" width="11.5"/>
    <col customWidth="1" min="7" max="7" width="13.25"/>
    <col customWidth="1" min="8" max="8" width="21.63"/>
    <col customWidth="1" min="9" max="9" width="14.75"/>
    <col customWidth="1" min="10" max="10" width="20.25"/>
    <col customWidth="1" min="11" max="11" width="17.13"/>
    <col customWidth="1" min="12" max="12" width="18.0"/>
    <col customWidth="1" min="13" max="13" width="19.13"/>
    <col customWidth="1" min="14" max="14" width="21.75"/>
    <col customWidth="1" min="15" max="15" width="22.5"/>
    <col customWidth="1" min="16" max="16" width="5.38"/>
  </cols>
  <sheetData>
    <row r="1" ht="52.5" customHeight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6.25" customHeight="1">
      <c r="A5" s="1"/>
      <c r="B5" s="1"/>
      <c r="C5" s="1"/>
      <c r="D5" s="3" t="s">
        <v>2</v>
      </c>
      <c r="E5" s="4"/>
      <c r="F5" s="4"/>
      <c r="G5" s="4"/>
      <c r="H5" s="4"/>
      <c r="I5" s="4"/>
      <c r="J5" s="4"/>
      <c r="K5" s="5"/>
      <c r="L5" s="6" t="s">
        <v>3</v>
      </c>
      <c r="M5" s="4"/>
      <c r="N5" s="4"/>
      <c r="O5" s="5"/>
      <c r="P5" s="7"/>
      <c r="Q5" s="7"/>
      <c r="R5" s="1"/>
      <c r="S5" s="1"/>
      <c r="T5" s="1"/>
      <c r="U5" s="1"/>
      <c r="V5" s="1"/>
      <c r="W5" s="1"/>
      <c r="X5" s="1"/>
      <c r="Y5" s="1"/>
      <c r="Z5" s="1"/>
    </row>
    <row r="6" ht="66.0" customHeight="1">
      <c r="A6" s="1"/>
      <c r="B6" s="8" t="s">
        <v>4</v>
      </c>
      <c r="C6" s="8" t="s">
        <v>5</v>
      </c>
      <c r="D6" s="9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0" t="s">
        <v>12</v>
      </c>
      <c r="K6" s="11" t="s">
        <v>13</v>
      </c>
      <c r="L6" s="10" t="s">
        <v>14</v>
      </c>
      <c r="M6" s="10" t="s">
        <v>15</v>
      </c>
      <c r="N6" s="12" t="s">
        <v>16</v>
      </c>
      <c r="O6" s="13" t="s">
        <v>17</v>
      </c>
      <c r="P6" s="7"/>
      <c r="Q6" s="14" t="s">
        <v>18</v>
      </c>
      <c r="R6" s="1"/>
      <c r="S6" s="1"/>
      <c r="T6" s="1"/>
      <c r="U6" s="1"/>
      <c r="V6" s="1"/>
      <c r="W6" s="1"/>
      <c r="X6" s="1"/>
      <c r="Y6" s="1"/>
      <c r="Z6" s="1"/>
    </row>
    <row r="7">
      <c r="A7" s="15">
        <v>1.0</v>
      </c>
      <c r="B7" s="15" t="s">
        <v>19</v>
      </c>
      <c r="C7" s="15" t="s">
        <v>20</v>
      </c>
      <c r="D7" s="16">
        <v>16.0</v>
      </c>
      <c r="E7" s="17">
        <v>1.0</v>
      </c>
      <c r="F7" s="18">
        <v>48.0</v>
      </c>
      <c r="G7" s="18">
        <v>65.0</v>
      </c>
      <c r="H7" s="18">
        <v>16.0</v>
      </c>
      <c r="I7" s="19">
        <f t="shared" ref="I7:I51" si="2">SUM(F7:H7)</f>
        <v>129</v>
      </c>
      <c r="J7" s="20">
        <v>13692.0</v>
      </c>
      <c r="K7" s="21">
        <f>(SUM(I7:I11)/COUNT(I7:I11))*1000</f>
        <v>129200</v>
      </c>
      <c r="L7" s="22">
        <v>3080.0</v>
      </c>
      <c r="M7" s="20">
        <v>525.0</v>
      </c>
      <c r="N7" s="23">
        <f t="shared" ref="N7:O7" si="1">ROUND(AVERAGE(L7:L11),0)</f>
        <v>2477</v>
      </c>
      <c r="O7" s="24">
        <f t="shared" si="1"/>
        <v>495</v>
      </c>
      <c r="P7" s="7"/>
      <c r="Q7" s="25">
        <f>ROUND(N7/O7,1)</f>
        <v>5</v>
      </c>
      <c r="R7" s="1"/>
      <c r="S7" s="1"/>
      <c r="T7" s="1"/>
      <c r="U7" s="1"/>
      <c r="V7" s="1"/>
      <c r="W7" s="1"/>
      <c r="X7" s="1"/>
      <c r="Y7" s="1"/>
      <c r="Z7" s="1"/>
    </row>
    <row r="8">
      <c r="A8" s="26"/>
      <c r="B8" s="26"/>
      <c r="C8" s="26"/>
      <c r="D8" s="27"/>
      <c r="E8" s="28">
        <v>2.0</v>
      </c>
      <c r="F8" s="29">
        <v>45.0</v>
      </c>
      <c r="G8" s="29">
        <v>61.0</v>
      </c>
      <c r="H8" s="29">
        <v>21.0</v>
      </c>
      <c r="I8" s="30">
        <f t="shared" si="2"/>
        <v>127</v>
      </c>
      <c r="J8" s="31">
        <v>13692.0</v>
      </c>
      <c r="L8" s="32">
        <v>2872.0</v>
      </c>
      <c r="M8" s="31">
        <v>642.0</v>
      </c>
      <c r="N8" s="33"/>
      <c r="O8" s="26"/>
      <c r="P8" s="7"/>
      <c r="Q8" s="26"/>
      <c r="R8" s="1"/>
      <c r="S8" s="1"/>
      <c r="T8" s="1"/>
      <c r="U8" s="1"/>
      <c r="V8" s="1"/>
      <c r="W8" s="1"/>
      <c r="X8" s="1"/>
      <c r="Y8" s="1"/>
      <c r="Z8" s="1"/>
    </row>
    <row r="9">
      <c r="A9" s="26"/>
      <c r="B9" s="26"/>
      <c r="C9" s="26"/>
      <c r="D9" s="27"/>
      <c r="E9" s="28">
        <v>3.0</v>
      </c>
      <c r="F9" s="29">
        <v>46.0</v>
      </c>
      <c r="G9" s="29">
        <v>60.0</v>
      </c>
      <c r="H9" s="29">
        <v>17.0</v>
      </c>
      <c r="I9" s="30">
        <f t="shared" si="2"/>
        <v>123</v>
      </c>
      <c r="J9" s="31">
        <v>13692.0</v>
      </c>
      <c r="L9" s="32">
        <v>1609.0</v>
      </c>
      <c r="M9" s="31">
        <v>337.0</v>
      </c>
      <c r="N9" s="33"/>
      <c r="O9" s="26"/>
      <c r="P9" s="7"/>
      <c r="Q9" s="26"/>
      <c r="R9" s="1"/>
      <c r="S9" s="1"/>
      <c r="T9" s="1"/>
      <c r="U9" s="1"/>
      <c r="V9" s="1"/>
      <c r="W9" s="1"/>
      <c r="X9" s="1"/>
      <c r="Y9" s="1"/>
      <c r="Z9" s="1"/>
    </row>
    <row r="10">
      <c r="A10" s="26"/>
      <c r="B10" s="26"/>
      <c r="C10" s="26"/>
      <c r="D10" s="27"/>
      <c r="E10" s="28">
        <v>4.0</v>
      </c>
      <c r="F10" s="29">
        <v>54.0</v>
      </c>
      <c r="G10" s="29">
        <v>61.0</v>
      </c>
      <c r="H10" s="29">
        <v>17.0</v>
      </c>
      <c r="I10" s="30">
        <f t="shared" si="2"/>
        <v>132</v>
      </c>
      <c r="J10" s="31">
        <v>13692.0</v>
      </c>
      <c r="L10" s="32">
        <v>3157.0</v>
      </c>
      <c r="M10" s="31">
        <v>634.0</v>
      </c>
      <c r="N10" s="33"/>
      <c r="O10" s="26"/>
      <c r="P10" s="7"/>
      <c r="Q10" s="26"/>
      <c r="R10" s="1"/>
      <c r="S10" s="1"/>
      <c r="T10" s="1"/>
      <c r="U10" s="1"/>
      <c r="V10" s="1"/>
      <c r="W10" s="1"/>
      <c r="X10" s="1"/>
      <c r="Y10" s="1"/>
      <c r="Z10" s="1"/>
    </row>
    <row r="11">
      <c r="A11" s="34"/>
      <c r="B11" s="34"/>
      <c r="C11" s="34"/>
      <c r="D11" s="35"/>
      <c r="E11" s="36">
        <v>5.0</v>
      </c>
      <c r="F11" s="37">
        <v>52.0</v>
      </c>
      <c r="G11" s="37">
        <v>65.0</v>
      </c>
      <c r="H11" s="37">
        <v>18.0</v>
      </c>
      <c r="I11" s="38">
        <f t="shared" si="2"/>
        <v>135</v>
      </c>
      <c r="J11" s="39">
        <v>13692.0</v>
      </c>
      <c r="K11" s="40"/>
      <c r="L11" s="32">
        <v>1666.0</v>
      </c>
      <c r="M11" s="31">
        <v>338.0</v>
      </c>
      <c r="N11" s="41"/>
      <c r="O11" s="34"/>
      <c r="P11" s="7"/>
      <c r="Q11" s="34"/>
      <c r="R11" s="1"/>
      <c r="S11" s="1"/>
      <c r="T11" s="1"/>
      <c r="U11" s="1"/>
      <c r="V11" s="1"/>
      <c r="W11" s="1"/>
      <c r="X11" s="1"/>
      <c r="Y11" s="1"/>
      <c r="Z11" s="1"/>
    </row>
    <row r="12">
      <c r="A12" s="15">
        <v>2.0</v>
      </c>
      <c r="B12" s="15" t="s">
        <v>21</v>
      </c>
      <c r="C12" s="15" t="s">
        <v>22</v>
      </c>
      <c r="D12" s="16">
        <v>8.0</v>
      </c>
      <c r="E12" s="28">
        <v>1.0</v>
      </c>
      <c r="F12" s="29">
        <v>259.0</v>
      </c>
      <c r="G12" s="29">
        <v>303.0</v>
      </c>
      <c r="H12" s="29">
        <v>83.0</v>
      </c>
      <c r="I12" s="30">
        <f t="shared" si="2"/>
        <v>645</v>
      </c>
      <c r="J12" s="31">
        <v>13692.0</v>
      </c>
      <c r="K12" s="21">
        <f>(SUM(I12:I16)/COUNT(I12:I16))*1000</f>
        <v>633800</v>
      </c>
      <c r="L12" s="22">
        <v>2198.0</v>
      </c>
      <c r="M12" s="20">
        <v>454.0</v>
      </c>
      <c r="N12" s="23">
        <f t="shared" ref="N12:O12" si="3">ROUND(AVERAGE(L12:L16),0)</f>
        <v>2531</v>
      </c>
      <c r="O12" s="24">
        <f t="shared" si="3"/>
        <v>534</v>
      </c>
      <c r="P12" s="7"/>
      <c r="Q12" s="25">
        <f>ROUND(N12/O12,1)</f>
        <v>4.7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26"/>
      <c r="B13" s="26"/>
      <c r="C13" s="26"/>
      <c r="D13" s="27"/>
      <c r="E13" s="28">
        <v>2.0</v>
      </c>
      <c r="F13" s="29">
        <v>245.0</v>
      </c>
      <c r="G13" s="29">
        <v>290.0</v>
      </c>
      <c r="H13" s="29">
        <v>95.0</v>
      </c>
      <c r="I13" s="30">
        <f t="shared" si="2"/>
        <v>630</v>
      </c>
      <c r="J13" s="31">
        <v>13692.0</v>
      </c>
      <c r="L13" s="32">
        <v>2191.0</v>
      </c>
      <c r="M13" s="31">
        <v>444.0</v>
      </c>
      <c r="N13" s="33"/>
      <c r="O13" s="26"/>
      <c r="P13" s="7"/>
      <c r="Q13" s="26"/>
      <c r="R13" s="1"/>
      <c r="S13" s="1"/>
      <c r="T13" s="1"/>
      <c r="U13" s="1"/>
      <c r="V13" s="1"/>
      <c r="W13" s="1"/>
      <c r="X13" s="1"/>
      <c r="Y13" s="1"/>
      <c r="Z13" s="1"/>
    </row>
    <row r="14">
      <c r="A14" s="26"/>
      <c r="B14" s="26"/>
      <c r="C14" s="26"/>
      <c r="D14" s="27"/>
      <c r="E14" s="28">
        <v>3.0</v>
      </c>
      <c r="F14" s="29">
        <v>248.0</v>
      </c>
      <c r="G14" s="29">
        <v>291.0</v>
      </c>
      <c r="H14" s="29">
        <v>91.0</v>
      </c>
      <c r="I14" s="30">
        <f t="shared" si="2"/>
        <v>630</v>
      </c>
      <c r="J14" s="31">
        <v>13692.0</v>
      </c>
      <c r="L14" s="32">
        <v>3033.0</v>
      </c>
      <c r="M14" s="31">
        <v>638.0</v>
      </c>
      <c r="N14" s="33"/>
      <c r="O14" s="26"/>
      <c r="P14" s="7"/>
      <c r="Q14" s="26"/>
      <c r="R14" s="1"/>
      <c r="S14" s="1"/>
      <c r="T14" s="1"/>
      <c r="U14" s="1"/>
      <c r="V14" s="1"/>
      <c r="W14" s="1"/>
      <c r="X14" s="1"/>
      <c r="Y14" s="1"/>
      <c r="Z14" s="1"/>
    </row>
    <row r="15">
      <c r="A15" s="26"/>
      <c r="B15" s="26"/>
      <c r="C15" s="26"/>
      <c r="D15" s="27"/>
      <c r="E15" s="28">
        <v>4.0</v>
      </c>
      <c r="F15" s="29">
        <v>248.0</v>
      </c>
      <c r="G15" s="29">
        <v>295.0</v>
      </c>
      <c r="H15" s="29">
        <v>96.0</v>
      </c>
      <c r="I15" s="30">
        <f t="shared" si="2"/>
        <v>639</v>
      </c>
      <c r="J15" s="31">
        <v>13692.0</v>
      </c>
      <c r="L15" s="32">
        <v>3019.0</v>
      </c>
      <c r="M15" s="31">
        <v>718.0</v>
      </c>
      <c r="N15" s="33"/>
      <c r="O15" s="26"/>
      <c r="P15" s="7"/>
      <c r="Q15" s="26"/>
      <c r="R15" s="1"/>
      <c r="S15" s="1"/>
      <c r="T15" s="1"/>
      <c r="U15" s="1"/>
      <c r="V15" s="1"/>
      <c r="W15" s="1"/>
      <c r="X15" s="1"/>
      <c r="Y15" s="1"/>
      <c r="Z15" s="1"/>
    </row>
    <row r="16">
      <c r="A16" s="34"/>
      <c r="B16" s="34"/>
      <c r="C16" s="34"/>
      <c r="D16" s="35"/>
      <c r="E16" s="28">
        <v>5.0</v>
      </c>
      <c r="F16" s="29">
        <v>249.0</v>
      </c>
      <c r="G16" s="29">
        <v>289.0</v>
      </c>
      <c r="H16" s="29">
        <v>87.0</v>
      </c>
      <c r="I16" s="30">
        <f t="shared" si="2"/>
        <v>625</v>
      </c>
      <c r="J16" s="31">
        <v>13692.0</v>
      </c>
      <c r="K16" s="40"/>
      <c r="L16" s="32">
        <v>2214.0</v>
      </c>
      <c r="M16" s="31">
        <v>417.0</v>
      </c>
      <c r="N16" s="41"/>
      <c r="O16" s="34"/>
      <c r="P16" s="7"/>
      <c r="Q16" s="34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>
        <v>3.0</v>
      </c>
      <c r="B17" s="15" t="s">
        <v>23</v>
      </c>
      <c r="C17" s="15" t="s">
        <v>24</v>
      </c>
      <c r="D17" s="16">
        <v>32.0</v>
      </c>
      <c r="E17" s="17">
        <v>1.0</v>
      </c>
      <c r="F17" s="18">
        <v>144.0</v>
      </c>
      <c r="G17" s="18">
        <v>169.0</v>
      </c>
      <c r="H17" s="18">
        <v>44.0</v>
      </c>
      <c r="I17" s="19">
        <f t="shared" si="2"/>
        <v>357</v>
      </c>
      <c r="J17" s="20">
        <v>13692.0</v>
      </c>
      <c r="K17" s="21">
        <f>(SUM(I17:I21)/COUNT(I17:I21))*1000</f>
        <v>352000</v>
      </c>
      <c r="L17" s="22">
        <v>1336.0</v>
      </c>
      <c r="M17" s="20">
        <v>470.0</v>
      </c>
      <c r="N17" s="23">
        <f t="shared" ref="N17:O17" si="4">ROUND(AVERAGE(L17:L21),0)</f>
        <v>1117</v>
      </c>
      <c r="O17" s="24">
        <f t="shared" si="4"/>
        <v>352</v>
      </c>
      <c r="P17" s="7"/>
      <c r="Q17" s="25">
        <f>ROUND(N17/O17,1)</f>
        <v>3.2</v>
      </c>
      <c r="R17" s="1"/>
      <c r="S17" s="1"/>
      <c r="T17" s="1"/>
      <c r="U17" s="1"/>
      <c r="V17" s="1"/>
      <c r="W17" s="1"/>
      <c r="X17" s="1"/>
      <c r="Y17" s="1"/>
      <c r="Z17" s="1"/>
    </row>
    <row r="18">
      <c r="A18" s="26"/>
      <c r="B18" s="26"/>
      <c r="C18" s="26"/>
      <c r="D18" s="27"/>
      <c r="E18" s="28">
        <v>2.0</v>
      </c>
      <c r="F18" s="29">
        <v>136.0</v>
      </c>
      <c r="G18" s="29">
        <v>168.0</v>
      </c>
      <c r="H18" s="29">
        <v>46.0</v>
      </c>
      <c r="I18" s="30">
        <f t="shared" si="2"/>
        <v>350</v>
      </c>
      <c r="J18" s="31">
        <v>13692.0</v>
      </c>
      <c r="L18" s="32">
        <v>1032.0</v>
      </c>
      <c r="M18" s="31">
        <v>246.0</v>
      </c>
      <c r="N18" s="33"/>
      <c r="O18" s="26"/>
      <c r="P18" s="7"/>
      <c r="Q18" s="26"/>
      <c r="R18" s="1"/>
      <c r="S18" s="1"/>
      <c r="T18" s="1"/>
      <c r="U18" s="1"/>
      <c r="V18" s="1"/>
      <c r="W18" s="1"/>
      <c r="X18" s="1"/>
      <c r="Y18" s="1"/>
      <c r="Z18" s="1"/>
    </row>
    <row r="19">
      <c r="A19" s="26"/>
      <c r="B19" s="26"/>
      <c r="C19" s="26"/>
      <c r="D19" s="27"/>
      <c r="E19" s="28">
        <v>3.0</v>
      </c>
      <c r="F19" s="29">
        <v>138.0</v>
      </c>
      <c r="G19" s="29">
        <v>167.0</v>
      </c>
      <c r="H19" s="29">
        <v>47.0</v>
      </c>
      <c r="I19" s="30">
        <f t="shared" si="2"/>
        <v>352</v>
      </c>
      <c r="J19" s="31">
        <v>13692.0</v>
      </c>
      <c r="L19" s="32">
        <v>1168.0</v>
      </c>
      <c r="M19" s="31">
        <v>284.0</v>
      </c>
      <c r="N19" s="33"/>
      <c r="O19" s="26"/>
      <c r="P19" s="7"/>
      <c r="Q19" s="26"/>
      <c r="R19" s="1"/>
      <c r="S19" s="1"/>
      <c r="T19" s="1"/>
      <c r="U19" s="1"/>
      <c r="V19" s="1"/>
      <c r="W19" s="1"/>
      <c r="X19" s="1"/>
      <c r="Y19" s="1"/>
      <c r="Z19" s="1"/>
    </row>
    <row r="20">
      <c r="A20" s="26"/>
      <c r="B20" s="26"/>
      <c r="C20" s="26"/>
      <c r="D20" s="27"/>
      <c r="E20" s="28">
        <v>4.0</v>
      </c>
      <c r="F20" s="29">
        <v>137.0</v>
      </c>
      <c r="G20" s="29">
        <v>170.0</v>
      </c>
      <c r="H20" s="29">
        <v>42.0</v>
      </c>
      <c r="I20" s="30">
        <f t="shared" si="2"/>
        <v>349</v>
      </c>
      <c r="J20" s="31">
        <v>13692.0</v>
      </c>
      <c r="L20" s="32">
        <v>1062.0</v>
      </c>
      <c r="M20" s="31">
        <v>398.0</v>
      </c>
      <c r="N20" s="33"/>
      <c r="O20" s="26"/>
      <c r="P20" s="7"/>
      <c r="Q20" s="26"/>
      <c r="R20" s="1"/>
      <c r="S20" s="1"/>
      <c r="T20" s="1"/>
      <c r="U20" s="1"/>
      <c r="V20" s="1"/>
      <c r="W20" s="1"/>
      <c r="X20" s="1"/>
      <c r="Y20" s="1"/>
      <c r="Z20" s="1"/>
    </row>
    <row r="21">
      <c r="A21" s="34"/>
      <c r="B21" s="34"/>
      <c r="C21" s="34"/>
      <c r="D21" s="35"/>
      <c r="E21" s="28">
        <v>5.0</v>
      </c>
      <c r="F21" s="29">
        <v>139.0</v>
      </c>
      <c r="G21" s="29">
        <v>167.0</v>
      </c>
      <c r="H21" s="29">
        <v>46.0</v>
      </c>
      <c r="I21" s="30">
        <f t="shared" si="2"/>
        <v>352</v>
      </c>
      <c r="J21" s="31">
        <v>13692.0</v>
      </c>
      <c r="K21" s="40"/>
      <c r="L21" s="32">
        <v>989.0</v>
      </c>
      <c r="M21" s="31">
        <v>362.0</v>
      </c>
      <c r="N21" s="41"/>
      <c r="O21" s="34"/>
      <c r="P21" s="7"/>
      <c r="Q21" s="34"/>
      <c r="R21" s="1"/>
      <c r="S21" s="1"/>
      <c r="T21" s="1"/>
      <c r="U21" s="1"/>
      <c r="V21" s="1"/>
      <c r="W21" s="1"/>
      <c r="X21" s="1"/>
      <c r="Y21" s="1"/>
      <c r="Z21" s="1"/>
    </row>
    <row r="22">
      <c r="A22" s="15">
        <v>4.0</v>
      </c>
      <c r="B22" s="15" t="s">
        <v>25</v>
      </c>
      <c r="C22" s="15" t="s">
        <v>26</v>
      </c>
      <c r="D22" s="16">
        <v>32.0</v>
      </c>
      <c r="E22" s="17">
        <v>1.0</v>
      </c>
      <c r="F22" s="18">
        <v>104.0</v>
      </c>
      <c r="G22" s="18">
        <v>128.0</v>
      </c>
      <c r="H22" s="18">
        <v>43.0</v>
      </c>
      <c r="I22" s="19">
        <f t="shared" si="2"/>
        <v>275</v>
      </c>
      <c r="J22" s="20">
        <v>13692.0</v>
      </c>
      <c r="K22" s="21">
        <f>(SUM(I22:I26)/COUNT(I22:I26))*1000</f>
        <v>275400</v>
      </c>
      <c r="L22" s="22">
        <v>1190.0</v>
      </c>
      <c r="M22" s="20">
        <v>370.0</v>
      </c>
      <c r="N22" s="23">
        <f t="shared" ref="N22:O22" si="5">ROUND(AVERAGE(L22:L26),0)</f>
        <v>1207</v>
      </c>
      <c r="O22" s="24">
        <f t="shared" si="5"/>
        <v>355</v>
      </c>
      <c r="P22" s="7"/>
      <c r="Q22" s="25">
        <f>ROUND(N22/O22,1)</f>
        <v>3.4</v>
      </c>
      <c r="R22" s="1"/>
      <c r="S22" s="42" t="s">
        <v>27</v>
      </c>
      <c r="U22" s="1"/>
      <c r="V22" s="1"/>
      <c r="W22" s="1"/>
      <c r="X22" s="1"/>
      <c r="Y22" s="1"/>
      <c r="Z22" s="1"/>
    </row>
    <row r="23">
      <c r="A23" s="26"/>
      <c r="B23" s="26"/>
      <c r="C23" s="26"/>
      <c r="D23" s="27"/>
      <c r="E23" s="28">
        <v>2.0</v>
      </c>
      <c r="F23" s="29">
        <v>106.0</v>
      </c>
      <c r="G23" s="29">
        <v>133.0</v>
      </c>
      <c r="H23" s="29">
        <v>43.0</v>
      </c>
      <c r="I23" s="30">
        <f t="shared" si="2"/>
        <v>282</v>
      </c>
      <c r="J23" s="31">
        <v>13692.0</v>
      </c>
      <c r="L23" s="32">
        <v>1282.0</v>
      </c>
      <c r="M23" s="31">
        <v>378.0</v>
      </c>
      <c r="N23" s="33"/>
      <c r="O23" s="26"/>
      <c r="P23" s="7"/>
      <c r="Q23" s="26"/>
      <c r="R23" s="1"/>
      <c r="U23" s="1"/>
      <c r="V23" s="1"/>
      <c r="W23" s="1"/>
      <c r="X23" s="1"/>
      <c r="Y23" s="1"/>
      <c r="Z23" s="1"/>
    </row>
    <row r="24">
      <c r="A24" s="26"/>
      <c r="B24" s="26"/>
      <c r="C24" s="26"/>
      <c r="D24" s="27"/>
      <c r="E24" s="28">
        <v>3.0</v>
      </c>
      <c r="F24" s="29">
        <v>103.0</v>
      </c>
      <c r="G24" s="29">
        <v>129.0</v>
      </c>
      <c r="H24" s="29">
        <v>43.0</v>
      </c>
      <c r="I24" s="30">
        <f t="shared" si="2"/>
        <v>275</v>
      </c>
      <c r="J24" s="31">
        <v>13692.0</v>
      </c>
      <c r="L24" s="32">
        <v>1136.0</v>
      </c>
      <c r="M24" s="31">
        <v>336.0</v>
      </c>
      <c r="N24" s="33"/>
      <c r="O24" s="26"/>
      <c r="P24" s="7"/>
      <c r="Q24" s="26"/>
      <c r="R24" s="1"/>
      <c r="U24" s="1"/>
      <c r="V24" s="1"/>
      <c r="W24" s="1"/>
      <c r="X24" s="1"/>
      <c r="Y24" s="1"/>
      <c r="Z24" s="1"/>
    </row>
    <row r="25">
      <c r="A25" s="26"/>
      <c r="B25" s="26"/>
      <c r="C25" s="26"/>
      <c r="D25" s="27"/>
      <c r="E25" s="28">
        <v>4.0</v>
      </c>
      <c r="F25" s="29">
        <v>104.0</v>
      </c>
      <c r="G25" s="29">
        <v>127.0</v>
      </c>
      <c r="H25" s="29">
        <v>42.0</v>
      </c>
      <c r="I25" s="30">
        <f t="shared" si="2"/>
        <v>273</v>
      </c>
      <c r="J25" s="31">
        <v>13692.0</v>
      </c>
      <c r="L25" s="32">
        <v>1283.0</v>
      </c>
      <c r="M25" s="31">
        <v>348.0</v>
      </c>
      <c r="N25" s="33"/>
      <c r="O25" s="26"/>
      <c r="P25" s="7"/>
      <c r="Q25" s="26"/>
      <c r="R25" s="1"/>
      <c r="U25" s="1"/>
      <c r="V25" s="1"/>
      <c r="W25" s="1"/>
      <c r="X25" s="1"/>
      <c r="Y25" s="1"/>
      <c r="Z25" s="1"/>
    </row>
    <row r="26">
      <c r="A26" s="34"/>
      <c r="B26" s="34"/>
      <c r="C26" s="34"/>
      <c r="D26" s="35"/>
      <c r="E26" s="28">
        <v>5.0</v>
      </c>
      <c r="F26" s="29">
        <v>104.0</v>
      </c>
      <c r="G26" s="29">
        <v>126.0</v>
      </c>
      <c r="H26" s="29">
        <v>42.0</v>
      </c>
      <c r="I26" s="30">
        <f t="shared" si="2"/>
        <v>272</v>
      </c>
      <c r="J26" s="31">
        <v>13692.0</v>
      </c>
      <c r="K26" s="40"/>
      <c r="L26" s="32">
        <v>1144.0</v>
      </c>
      <c r="M26" s="31">
        <v>344.0</v>
      </c>
      <c r="N26" s="41"/>
      <c r="O26" s="34"/>
      <c r="P26" s="7"/>
      <c r="Q26" s="34"/>
      <c r="R26" s="1"/>
      <c r="U26" s="1"/>
      <c r="V26" s="1"/>
      <c r="W26" s="1"/>
      <c r="X26" s="1"/>
      <c r="Y26" s="1"/>
      <c r="Z26" s="1"/>
    </row>
    <row r="27">
      <c r="A27" s="15">
        <v>5.0</v>
      </c>
      <c r="B27" s="15" t="s">
        <v>28</v>
      </c>
      <c r="C27" s="15" t="s">
        <v>29</v>
      </c>
      <c r="D27" s="16">
        <v>32.0</v>
      </c>
      <c r="E27" s="17">
        <v>1.0</v>
      </c>
      <c r="F27" s="18">
        <v>77.0</v>
      </c>
      <c r="G27" s="18">
        <v>103.0</v>
      </c>
      <c r="H27" s="18">
        <v>25.0</v>
      </c>
      <c r="I27" s="19">
        <f t="shared" si="2"/>
        <v>205</v>
      </c>
      <c r="J27" s="20">
        <v>13692.0</v>
      </c>
      <c r="K27" s="21">
        <f>(SUM(I27:I31)/COUNT(I27:I31))*1000</f>
        <v>207200</v>
      </c>
      <c r="L27" s="22">
        <v>1207.0</v>
      </c>
      <c r="M27" s="20">
        <v>211.0</v>
      </c>
      <c r="N27" s="23">
        <f t="shared" ref="N27:O27" si="6">ROUND(AVERAGE(L27:L31),0)</f>
        <v>1063</v>
      </c>
      <c r="O27" s="24">
        <f t="shared" si="6"/>
        <v>248</v>
      </c>
      <c r="P27" s="7"/>
      <c r="Q27" s="25">
        <f>ROUND(N27/O27,1)</f>
        <v>4.3</v>
      </c>
      <c r="R27" s="1"/>
      <c r="S27" s="43">
        <f>ROUND(GEOMEAN(Q7:Q51),2)</f>
        <v>3.91</v>
      </c>
      <c r="U27" s="2" t="s">
        <v>30</v>
      </c>
      <c r="W27" s="1"/>
      <c r="X27" s="1"/>
      <c r="Y27" s="1"/>
      <c r="Z27" s="1"/>
    </row>
    <row r="28">
      <c r="A28" s="26"/>
      <c r="B28" s="26"/>
      <c r="C28" s="26"/>
      <c r="D28" s="27"/>
      <c r="E28" s="28">
        <v>2.0</v>
      </c>
      <c r="F28" s="29">
        <v>77.0</v>
      </c>
      <c r="G28" s="29">
        <v>101.0</v>
      </c>
      <c r="H28" s="29">
        <v>29.0</v>
      </c>
      <c r="I28" s="30">
        <f t="shared" si="2"/>
        <v>207</v>
      </c>
      <c r="J28" s="31">
        <v>13692.0</v>
      </c>
      <c r="L28" s="32">
        <v>921.0</v>
      </c>
      <c r="M28" s="31">
        <v>250.0</v>
      </c>
      <c r="N28" s="33"/>
      <c r="O28" s="26"/>
      <c r="P28" s="7"/>
      <c r="Q28" s="26"/>
      <c r="R28" s="1"/>
      <c r="W28" s="1"/>
      <c r="X28" s="1"/>
      <c r="Y28" s="1"/>
      <c r="Z28" s="1"/>
    </row>
    <row r="29">
      <c r="A29" s="26"/>
      <c r="B29" s="26"/>
      <c r="C29" s="26"/>
      <c r="D29" s="27"/>
      <c r="E29" s="28">
        <v>3.0</v>
      </c>
      <c r="F29" s="29">
        <v>77.0</v>
      </c>
      <c r="G29" s="29">
        <v>101.0</v>
      </c>
      <c r="H29" s="29">
        <v>29.0</v>
      </c>
      <c r="I29" s="30">
        <f t="shared" si="2"/>
        <v>207</v>
      </c>
      <c r="J29" s="31">
        <v>13692.0</v>
      </c>
      <c r="L29" s="32">
        <v>955.0</v>
      </c>
      <c r="M29" s="31">
        <v>234.0</v>
      </c>
      <c r="N29" s="33"/>
      <c r="O29" s="26"/>
      <c r="P29" s="7"/>
      <c r="Q29" s="26"/>
      <c r="R29" s="1"/>
      <c r="W29" s="1"/>
      <c r="X29" s="1"/>
      <c r="Y29" s="1"/>
      <c r="Z29" s="1"/>
    </row>
    <row r="30">
      <c r="A30" s="26"/>
      <c r="B30" s="26"/>
      <c r="C30" s="26"/>
      <c r="D30" s="27"/>
      <c r="E30" s="28">
        <v>4.0</v>
      </c>
      <c r="F30" s="29">
        <v>77.0</v>
      </c>
      <c r="G30" s="29">
        <v>103.0</v>
      </c>
      <c r="H30" s="29">
        <v>30.0</v>
      </c>
      <c r="I30" s="30">
        <f t="shared" si="2"/>
        <v>210</v>
      </c>
      <c r="J30" s="31">
        <v>13692.0</v>
      </c>
      <c r="L30" s="32">
        <v>1254.0</v>
      </c>
      <c r="M30" s="31">
        <v>299.0</v>
      </c>
      <c r="N30" s="33"/>
      <c r="O30" s="26"/>
      <c r="P30" s="7"/>
      <c r="Q30" s="26"/>
      <c r="R30" s="1"/>
      <c r="W30" s="1"/>
      <c r="X30" s="1"/>
      <c r="Y30" s="1"/>
      <c r="Z30" s="1"/>
    </row>
    <row r="31">
      <c r="A31" s="34"/>
      <c r="B31" s="34"/>
      <c r="C31" s="34"/>
      <c r="D31" s="35"/>
      <c r="E31" s="28">
        <v>5.0</v>
      </c>
      <c r="F31" s="29">
        <v>77.0</v>
      </c>
      <c r="G31" s="29">
        <v>101.0</v>
      </c>
      <c r="H31" s="29">
        <v>29.0</v>
      </c>
      <c r="I31" s="30">
        <f t="shared" si="2"/>
        <v>207</v>
      </c>
      <c r="J31" s="31">
        <v>13692.0</v>
      </c>
      <c r="K31" s="40"/>
      <c r="L31" s="32">
        <v>976.0</v>
      </c>
      <c r="M31" s="31">
        <v>245.0</v>
      </c>
      <c r="N31" s="41"/>
      <c r="O31" s="34"/>
      <c r="P31" s="7"/>
      <c r="Q31" s="34"/>
      <c r="R31" s="1"/>
      <c r="W31" s="1"/>
      <c r="X31" s="1"/>
      <c r="Y31" s="1"/>
      <c r="Z31" s="1"/>
    </row>
    <row r="32">
      <c r="A32" s="15">
        <v>6.0</v>
      </c>
      <c r="B32" s="15" t="s">
        <v>31</v>
      </c>
      <c r="C32" s="15" t="s">
        <v>32</v>
      </c>
      <c r="D32" s="16">
        <v>12.0</v>
      </c>
      <c r="E32" s="17">
        <v>1.0</v>
      </c>
      <c r="F32" s="18">
        <v>713.0</v>
      </c>
      <c r="G32" s="18">
        <v>428.0</v>
      </c>
      <c r="H32" s="18">
        <v>130.0</v>
      </c>
      <c r="I32" s="19">
        <f t="shared" si="2"/>
        <v>1271</v>
      </c>
      <c r="J32" s="20">
        <v>12081.0</v>
      </c>
      <c r="K32" s="21">
        <f>(SUM(I32:I36)/COUNT(I32:I36))*1000</f>
        <v>1273200</v>
      </c>
      <c r="L32" s="22">
        <v>3154.0</v>
      </c>
      <c r="M32" s="20">
        <v>1338.0</v>
      </c>
      <c r="N32" s="23">
        <f t="shared" ref="N32:O32" si="7">ROUND(AVERAGE(L32:L36),0)</f>
        <v>3988</v>
      </c>
      <c r="O32" s="24">
        <f t="shared" si="7"/>
        <v>1516</v>
      </c>
      <c r="P32" s="7"/>
      <c r="Q32" s="25">
        <f>ROUND(N32/O32,1)</f>
        <v>2.6</v>
      </c>
      <c r="R32" s="1"/>
      <c r="S32" s="1"/>
      <c r="T32" s="1"/>
      <c r="U32" s="1"/>
      <c r="V32" s="1"/>
      <c r="W32" s="1"/>
      <c r="X32" s="1"/>
      <c r="Y32" s="1"/>
      <c r="Z32" s="1"/>
    </row>
    <row r="33">
      <c r="A33" s="26"/>
      <c r="B33" s="26"/>
      <c r="C33" s="26"/>
      <c r="D33" s="27"/>
      <c r="E33" s="28">
        <v>2.0</v>
      </c>
      <c r="F33" s="29">
        <v>705.0</v>
      </c>
      <c r="G33" s="29">
        <v>425.0</v>
      </c>
      <c r="H33" s="29">
        <v>141.0</v>
      </c>
      <c r="I33" s="30">
        <f t="shared" si="2"/>
        <v>1271</v>
      </c>
      <c r="J33" s="31">
        <v>12081.0</v>
      </c>
      <c r="L33" s="32">
        <v>4174.0</v>
      </c>
      <c r="M33" s="31">
        <v>1619.0</v>
      </c>
      <c r="N33" s="33"/>
      <c r="O33" s="26"/>
      <c r="P33" s="7"/>
      <c r="Q33" s="26"/>
      <c r="R33" s="1"/>
      <c r="S33" s="1"/>
      <c r="T33" s="1"/>
      <c r="U33" s="1"/>
      <c r="V33" s="1"/>
      <c r="W33" s="1"/>
      <c r="X33" s="1"/>
      <c r="Y33" s="1"/>
      <c r="Z33" s="1"/>
    </row>
    <row r="34">
      <c r="A34" s="26"/>
      <c r="B34" s="26"/>
      <c r="C34" s="26"/>
      <c r="D34" s="27"/>
      <c r="E34" s="28">
        <v>3.0</v>
      </c>
      <c r="F34" s="29">
        <v>705.0</v>
      </c>
      <c r="G34" s="29">
        <v>426.0</v>
      </c>
      <c r="H34" s="29">
        <v>149.0</v>
      </c>
      <c r="I34" s="30">
        <f t="shared" si="2"/>
        <v>1280</v>
      </c>
      <c r="J34" s="31">
        <v>12081.0</v>
      </c>
      <c r="L34" s="32">
        <v>4145.0</v>
      </c>
      <c r="M34" s="31">
        <v>1509.0</v>
      </c>
      <c r="N34" s="33"/>
      <c r="O34" s="26"/>
      <c r="P34" s="7"/>
      <c r="Q34" s="26"/>
      <c r="R34" s="1"/>
      <c r="S34" s="1"/>
      <c r="T34" s="1"/>
      <c r="U34" s="1"/>
      <c r="V34" s="1"/>
      <c r="W34" s="1"/>
      <c r="X34" s="1"/>
      <c r="Y34" s="1"/>
      <c r="Z34" s="1"/>
    </row>
    <row r="35">
      <c r="A35" s="26"/>
      <c r="B35" s="26"/>
      <c r="C35" s="26"/>
      <c r="D35" s="27"/>
      <c r="E35" s="28">
        <v>4.0</v>
      </c>
      <c r="F35" s="29">
        <v>706.0</v>
      </c>
      <c r="G35" s="29">
        <v>425.0</v>
      </c>
      <c r="H35" s="29">
        <v>141.0</v>
      </c>
      <c r="I35" s="30">
        <f t="shared" si="2"/>
        <v>1272</v>
      </c>
      <c r="J35" s="31">
        <v>12081.0</v>
      </c>
      <c r="L35" s="32">
        <v>4265.0</v>
      </c>
      <c r="M35" s="31">
        <v>1508.0</v>
      </c>
      <c r="N35" s="33"/>
      <c r="O35" s="26"/>
      <c r="P35" s="7"/>
      <c r="Q35" s="26"/>
      <c r="R35" s="1"/>
      <c r="S35" s="1"/>
      <c r="T35" s="1"/>
      <c r="U35" s="1"/>
      <c r="V35" s="1"/>
      <c r="W35" s="1"/>
      <c r="X35" s="1"/>
      <c r="Y35" s="1"/>
      <c r="Z35" s="1"/>
    </row>
    <row r="36">
      <c r="A36" s="34"/>
      <c r="B36" s="34"/>
      <c r="C36" s="34"/>
      <c r="D36" s="35"/>
      <c r="E36" s="36">
        <v>5.0</v>
      </c>
      <c r="F36" s="37">
        <v>704.0</v>
      </c>
      <c r="G36" s="37">
        <v>425.0</v>
      </c>
      <c r="H36" s="37">
        <v>143.0</v>
      </c>
      <c r="I36" s="38">
        <f t="shared" si="2"/>
        <v>1272</v>
      </c>
      <c r="J36" s="39">
        <v>12081.0</v>
      </c>
      <c r="K36" s="40"/>
      <c r="L36" s="44">
        <v>4203.0</v>
      </c>
      <c r="M36" s="39">
        <v>1608.0</v>
      </c>
      <c r="N36" s="41"/>
      <c r="O36" s="34"/>
      <c r="P36" s="7"/>
      <c r="Q36" s="34"/>
      <c r="R36" s="1"/>
      <c r="S36" s="1"/>
      <c r="T36" s="1"/>
      <c r="U36" s="1"/>
      <c r="V36" s="1"/>
      <c r="W36" s="1"/>
      <c r="X36" s="1"/>
      <c r="Y36" s="1"/>
      <c r="Z36" s="1"/>
    </row>
    <row r="37">
      <c r="A37" s="15">
        <v>7.0</v>
      </c>
      <c r="B37" s="15" t="s">
        <v>33</v>
      </c>
      <c r="C37" s="15" t="s">
        <v>34</v>
      </c>
      <c r="D37" s="16">
        <v>8.0</v>
      </c>
      <c r="E37" s="17">
        <v>1.0</v>
      </c>
      <c r="F37" s="18">
        <v>658.0</v>
      </c>
      <c r="G37" s="18">
        <v>388.0</v>
      </c>
      <c r="H37" s="18">
        <v>99.0</v>
      </c>
      <c r="I37" s="19">
        <f t="shared" si="2"/>
        <v>1145</v>
      </c>
      <c r="J37" s="20">
        <v>12081.0</v>
      </c>
      <c r="K37" s="21">
        <f>(SUM(I37:I41)/COUNT(I37:I41))*1000</f>
        <v>1124000</v>
      </c>
      <c r="L37" s="22">
        <v>7210.0</v>
      </c>
      <c r="M37" s="20">
        <v>2587.0</v>
      </c>
      <c r="N37" s="23">
        <f t="shared" ref="N37:O37" si="8">ROUND(AVERAGE(L37:L41),0)</f>
        <v>7597</v>
      </c>
      <c r="O37" s="24">
        <f t="shared" si="8"/>
        <v>2521</v>
      </c>
      <c r="P37" s="7"/>
      <c r="Q37" s="25">
        <f>ROUND(N37/O37,1)</f>
        <v>3</v>
      </c>
      <c r="R37" s="1"/>
      <c r="S37" s="1"/>
      <c r="T37" s="1"/>
      <c r="U37" s="1"/>
      <c r="V37" s="1"/>
      <c r="W37" s="1"/>
      <c r="X37" s="1"/>
      <c r="Y37" s="1"/>
      <c r="Z37" s="1"/>
    </row>
    <row r="38">
      <c r="A38" s="26"/>
      <c r="B38" s="26"/>
      <c r="C38" s="26"/>
      <c r="D38" s="27"/>
      <c r="E38" s="28">
        <v>2.0</v>
      </c>
      <c r="F38" s="29">
        <v>617.0</v>
      </c>
      <c r="G38" s="29">
        <v>387.0</v>
      </c>
      <c r="H38" s="29">
        <v>111.0</v>
      </c>
      <c r="I38" s="30">
        <f t="shared" si="2"/>
        <v>1115</v>
      </c>
      <c r="J38" s="31">
        <v>12081.0</v>
      </c>
      <c r="L38" s="32">
        <v>13151.0</v>
      </c>
      <c r="M38" s="31">
        <v>3164.0</v>
      </c>
      <c r="N38" s="33"/>
      <c r="O38" s="26"/>
      <c r="P38" s="7"/>
      <c r="Q38" s="26"/>
      <c r="R38" s="1"/>
      <c r="S38" s="1"/>
      <c r="T38" s="1"/>
      <c r="U38" s="1"/>
      <c r="V38" s="1"/>
      <c r="W38" s="1"/>
      <c r="X38" s="1"/>
      <c r="Y38" s="1"/>
      <c r="Z38" s="1"/>
    </row>
    <row r="39">
      <c r="A39" s="26"/>
      <c r="B39" s="26"/>
      <c r="C39" s="26"/>
      <c r="D39" s="27"/>
      <c r="E39" s="28">
        <v>3.0</v>
      </c>
      <c r="F39" s="29">
        <v>619.0</v>
      </c>
      <c r="G39" s="29">
        <v>386.0</v>
      </c>
      <c r="H39" s="29">
        <v>110.0</v>
      </c>
      <c r="I39" s="30">
        <f t="shared" si="2"/>
        <v>1115</v>
      </c>
      <c r="J39" s="31">
        <v>12081.0</v>
      </c>
      <c r="L39" s="32">
        <v>7273.0</v>
      </c>
      <c r="M39" s="31">
        <v>2765.0</v>
      </c>
      <c r="N39" s="33"/>
      <c r="O39" s="26"/>
      <c r="P39" s="7"/>
      <c r="Q39" s="26"/>
      <c r="R39" s="1"/>
      <c r="S39" s="1"/>
      <c r="T39" s="1"/>
      <c r="U39" s="1"/>
      <c r="V39" s="1"/>
      <c r="W39" s="1"/>
      <c r="X39" s="1"/>
      <c r="Y39" s="1"/>
      <c r="Z39" s="1"/>
    </row>
    <row r="40">
      <c r="A40" s="26"/>
      <c r="B40" s="26"/>
      <c r="C40" s="26"/>
      <c r="D40" s="27"/>
      <c r="E40" s="28">
        <v>4.0</v>
      </c>
      <c r="F40" s="29">
        <v>624.0</v>
      </c>
      <c r="G40" s="29">
        <v>386.0</v>
      </c>
      <c r="H40" s="29">
        <v>116.0</v>
      </c>
      <c r="I40" s="30">
        <f t="shared" si="2"/>
        <v>1126</v>
      </c>
      <c r="J40" s="31">
        <v>12081.0</v>
      </c>
      <c r="L40" s="32">
        <v>2925.0</v>
      </c>
      <c r="M40" s="31">
        <v>1076.0</v>
      </c>
      <c r="N40" s="33"/>
      <c r="O40" s="26"/>
      <c r="P40" s="7"/>
      <c r="Q40" s="26"/>
      <c r="R40" s="1"/>
      <c r="S40" s="1"/>
      <c r="T40" s="1"/>
      <c r="U40" s="1"/>
      <c r="V40" s="1"/>
      <c r="W40" s="1"/>
      <c r="X40" s="1"/>
      <c r="Y40" s="1"/>
      <c r="Z40" s="1"/>
    </row>
    <row r="41">
      <c r="A41" s="34"/>
      <c r="B41" s="34"/>
      <c r="C41" s="34"/>
      <c r="D41" s="35"/>
      <c r="E41" s="36">
        <v>5.0</v>
      </c>
      <c r="F41" s="37">
        <v>624.0</v>
      </c>
      <c r="G41" s="37">
        <v>386.0</v>
      </c>
      <c r="H41" s="37">
        <v>109.0</v>
      </c>
      <c r="I41" s="38">
        <f t="shared" si="2"/>
        <v>1119</v>
      </c>
      <c r="J41" s="39">
        <v>12081.0</v>
      </c>
      <c r="K41" s="40"/>
      <c r="L41" s="44">
        <v>7424.0</v>
      </c>
      <c r="M41" s="39">
        <v>3012.0</v>
      </c>
      <c r="N41" s="41"/>
      <c r="O41" s="34"/>
      <c r="P41" s="7"/>
      <c r="Q41" s="34"/>
      <c r="R41" s="1"/>
      <c r="S41" s="1"/>
      <c r="T41" s="1"/>
      <c r="U41" s="1"/>
      <c r="V41" s="1"/>
      <c r="W41" s="1"/>
      <c r="X41" s="1"/>
      <c r="Y41" s="1"/>
      <c r="Z41" s="1"/>
    </row>
    <row r="42">
      <c r="A42" s="15">
        <v>8.0</v>
      </c>
      <c r="B42" s="15" t="s">
        <v>35</v>
      </c>
      <c r="C42" s="15" t="s">
        <v>36</v>
      </c>
      <c r="D42" s="16">
        <v>32.0</v>
      </c>
      <c r="E42" s="17">
        <v>1.0</v>
      </c>
      <c r="F42" s="22">
        <v>128.0</v>
      </c>
      <c r="G42" s="18">
        <v>164.0</v>
      </c>
      <c r="H42" s="18">
        <v>44.0</v>
      </c>
      <c r="I42" s="45">
        <f t="shared" si="2"/>
        <v>336</v>
      </c>
      <c r="J42" s="20">
        <v>13692.0</v>
      </c>
      <c r="K42" s="21">
        <f>(SUM(I42:I46)/COUNT(I42:I46))*1000</f>
        <v>348600</v>
      </c>
      <c r="L42" s="22">
        <v>2264.0</v>
      </c>
      <c r="M42" s="20">
        <v>799.0</v>
      </c>
      <c r="N42" s="23">
        <f t="shared" ref="N42:O42" si="9">ROUND(AVERAGE(L42:L46),0)</f>
        <v>1780</v>
      </c>
      <c r="O42" s="24">
        <f t="shared" si="9"/>
        <v>553</v>
      </c>
      <c r="P42" s="7"/>
      <c r="Q42" s="25">
        <f>ROUND(N42/O42,1)</f>
        <v>3.2</v>
      </c>
      <c r="R42" s="1"/>
      <c r="S42" s="1"/>
      <c r="T42" s="1"/>
      <c r="U42" s="1"/>
      <c r="V42" s="1"/>
      <c r="W42" s="1"/>
      <c r="X42" s="1"/>
      <c r="Y42" s="1"/>
      <c r="Z42" s="1"/>
    </row>
    <row r="43">
      <c r="A43" s="26"/>
      <c r="B43" s="26"/>
      <c r="C43" s="26"/>
      <c r="D43" s="27"/>
      <c r="E43" s="28">
        <v>2.0</v>
      </c>
      <c r="F43" s="32">
        <v>135.0</v>
      </c>
      <c r="G43" s="29">
        <v>187.0</v>
      </c>
      <c r="H43" s="29">
        <v>44.0</v>
      </c>
      <c r="I43" s="38">
        <f t="shared" si="2"/>
        <v>366</v>
      </c>
      <c r="J43" s="31">
        <v>13692.0</v>
      </c>
      <c r="L43" s="32">
        <v>1594.0</v>
      </c>
      <c r="M43" s="31">
        <v>479.0</v>
      </c>
      <c r="N43" s="33"/>
      <c r="O43" s="26"/>
      <c r="P43" s="7"/>
      <c r="Q43" s="26"/>
      <c r="R43" s="1"/>
      <c r="S43" s="1"/>
      <c r="T43" s="1"/>
      <c r="U43" s="1"/>
      <c r="V43" s="1"/>
      <c r="W43" s="1"/>
      <c r="X43" s="1"/>
      <c r="Y43" s="1"/>
      <c r="Z43" s="1"/>
    </row>
    <row r="44">
      <c r="A44" s="26"/>
      <c r="B44" s="26"/>
      <c r="C44" s="26"/>
      <c r="D44" s="27"/>
      <c r="E44" s="28">
        <v>3.0</v>
      </c>
      <c r="F44" s="32">
        <v>132.0</v>
      </c>
      <c r="G44" s="29">
        <v>179.0</v>
      </c>
      <c r="H44" s="29">
        <v>42.0</v>
      </c>
      <c r="I44" s="38">
        <f t="shared" si="2"/>
        <v>353</v>
      </c>
      <c r="J44" s="31">
        <v>13692.0</v>
      </c>
      <c r="L44" s="32">
        <v>1087.0</v>
      </c>
      <c r="M44" s="31">
        <v>454.0</v>
      </c>
      <c r="N44" s="33"/>
      <c r="O44" s="26"/>
      <c r="P44" s="7"/>
      <c r="Q44" s="26"/>
      <c r="R44" s="1"/>
      <c r="S44" s="1"/>
      <c r="T44" s="1"/>
      <c r="U44" s="1"/>
      <c r="V44" s="1"/>
      <c r="W44" s="1"/>
      <c r="X44" s="1"/>
      <c r="Y44" s="1"/>
      <c r="Z44" s="1"/>
    </row>
    <row r="45">
      <c r="A45" s="26"/>
      <c r="B45" s="26"/>
      <c r="C45" s="26"/>
      <c r="D45" s="27"/>
      <c r="E45" s="28">
        <v>4.0</v>
      </c>
      <c r="F45" s="32">
        <v>139.0</v>
      </c>
      <c r="G45" s="29">
        <v>165.0</v>
      </c>
      <c r="H45" s="29">
        <v>45.0</v>
      </c>
      <c r="I45" s="38">
        <f t="shared" si="2"/>
        <v>349</v>
      </c>
      <c r="J45" s="31">
        <v>13692.0</v>
      </c>
      <c r="L45" s="32">
        <v>2735.0</v>
      </c>
      <c r="M45" s="31">
        <v>617.0</v>
      </c>
      <c r="N45" s="33"/>
      <c r="O45" s="26"/>
      <c r="P45" s="7"/>
      <c r="Q45" s="26"/>
      <c r="R45" s="1"/>
      <c r="S45" s="1"/>
      <c r="T45" s="1"/>
      <c r="U45" s="1"/>
      <c r="V45" s="1"/>
      <c r="W45" s="1"/>
      <c r="X45" s="1"/>
      <c r="Y45" s="1"/>
      <c r="Z45" s="1"/>
    </row>
    <row r="46">
      <c r="A46" s="34"/>
      <c r="B46" s="34"/>
      <c r="C46" s="34"/>
      <c r="D46" s="35"/>
      <c r="E46" s="36">
        <v>5.0</v>
      </c>
      <c r="F46" s="44">
        <v>132.0</v>
      </c>
      <c r="G46" s="37">
        <v>165.0</v>
      </c>
      <c r="H46" s="37">
        <v>42.0</v>
      </c>
      <c r="I46" s="38">
        <f t="shared" si="2"/>
        <v>339</v>
      </c>
      <c r="J46" s="39">
        <v>13692.0</v>
      </c>
      <c r="K46" s="40"/>
      <c r="L46" s="44">
        <v>1219.0</v>
      </c>
      <c r="M46" s="39">
        <v>416.0</v>
      </c>
      <c r="N46" s="41"/>
      <c r="O46" s="34"/>
      <c r="P46" s="7"/>
      <c r="Q46" s="34"/>
      <c r="R46" s="1"/>
      <c r="S46" s="1"/>
      <c r="T46" s="1"/>
      <c r="U46" s="1"/>
      <c r="V46" s="1"/>
      <c r="W46" s="1"/>
      <c r="X46" s="1"/>
      <c r="Y46" s="1"/>
      <c r="Z46" s="1"/>
    </row>
    <row r="47">
      <c r="A47" s="15">
        <v>8.0</v>
      </c>
      <c r="B47" s="15" t="s">
        <v>37</v>
      </c>
      <c r="C47" s="15" t="s">
        <v>38</v>
      </c>
      <c r="D47" s="16">
        <v>8.0</v>
      </c>
      <c r="E47" s="17">
        <v>1.0</v>
      </c>
      <c r="F47" s="22">
        <v>7564.0</v>
      </c>
      <c r="G47" s="18">
        <v>4097.0</v>
      </c>
      <c r="H47" s="18">
        <v>538.0</v>
      </c>
      <c r="I47" s="45">
        <f t="shared" si="2"/>
        <v>12199</v>
      </c>
      <c r="J47" s="20">
        <v>13692.0</v>
      </c>
      <c r="K47" s="21">
        <f>(SUM(I47:I51)/COUNT(I47:I51))*1000</f>
        <v>12221800</v>
      </c>
      <c r="L47" s="22">
        <v>10650.0</v>
      </c>
      <c r="M47" s="20">
        <v>1385.0</v>
      </c>
      <c r="N47" s="23">
        <f t="shared" ref="N47:O47" si="10">ROUND(AVERAGE(L47:L51),0)</f>
        <v>11307</v>
      </c>
      <c r="O47" s="24">
        <f t="shared" si="10"/>
        <v>1464</v>
      </c>
      <c r="P47" s="7"/>
      <c r="Q47" s="25">
        <f>ROUND(N47/O47,1)</f>
        <v>7.7</v>
      </c>
      <c r="R47" s="1"/>
      <c r="S47" s="1"/>
      <c r="T47" s="1"/>
      <c r="U47" s="1"/>
      <c r="V47" s="1"/>
      <c r="W47" s="1"/>
      <c r="X47" s="1"/>
      <c r="Y47" s="1"/>
      <c r="Z47" s="1"/>
    </row>
    <row r="48">
      <c r="A48" s="26"/>
      <c r="B48" s="26"/>
      <c r="C48" s="26"/>
      <c r="D48" s="27"/>
      <c r="E48" s="28">
        <v>2.0</v>
      </c>
      <c r="F48" s="32">
        <v>7579.0</v>
      </c>
      <c r="G48" s="29">
        <v>4099.0</v>
      </c>
      <c r="H48" s="29">
        <v>553.0</v>
      </c>
      <c r="I48" s="38">
        <f t="shared" si="2"/>
        <v>12231</v>
      </c>
      <c r="J48" s="31">
        <v>13692.0</v>
      </c>
      <c r="L48" s="32">
        <v>11172.0</v>
      </c>
      <c r="M48" s="31">
        <v>1367.0</v>
      </c>
      <c r="N48" s="33"/>
      <c r="O48" s="26"/>
      <c r="P48" s="7"/>
      <c r="Q48" s="26"/>
      <c r="R48" s="1"/>
      <c r="S48" s="1"/>
      <c r="T48" s="1"/>
      <c r="U48" s="1"/>
      <c r="V48" s="1"/>
      <c r="W48" s="1"/>
      <c r="X48" s="1"/>
      <c r="Y48" s="1"/>
      <c r="Z48" s="1"/>
    </row>
    <row r="49">
      <c r="A49" s="26"/>
      <c r="B49" s="26"/>
      <c r="C49" s="26"/>
      <c r="D49" s="27"/>
      <c r="E49" s="28">
        <v>3.0</v>
      </c>
      <c r="F49" s="32">
        <v>7552.0</v>
      </c>
      <c r="G49" s="29">
        <v>4096.0</v>
      </c>
      <c r="H49" s="29">
        <v>574.0</v>
      </c>
      <c r="I49" s="38">
        <f t="shared" si="2"/>
        <v>12222</v>
      </c>
      <c r="J49" s="31">
        <v>13692.0</v>
      </c>
      <c r="L49" s="32">
        <v>13134.0</v>
      </c>
      <c r="M49" s="31">
        <v>1818.0</v>
      </c>
      <c r="N49" s="33"/>
      <c r="O49" s="26"/>
      <c r="P49" s="7"/>
      <c r="Q49" s="26"/>
      <c r="R49" s="1"/>
      <c r="S49" s="1"/>
      <c r="T49" s="1"/>
      <c r="U49" s="1"/>
      <c r="V49" s="1"/>
      <c r="W49" s="1"/>
      <c r="X49" s="1"/>
      <c r="Y49" s="1"/>
      <c r="Z49" s="1"/>
    </row>
    <row r="50">
      <c r="A50" s="26"/>
      <c r="B50" s="26"/>
      <c r="C50" s="26"/>
      <c r="D50" s="27"/>
      <c r="E50" s="28">
        <v>4.0</v>
      </c>
      <c r="F50" s="32">
        <v>7555.0</v>
      </c>
      <c r="G50" s="29">
        <v>4094.0</v>
      </c>
      <c r="H50" s="29">
        <v>574.0</v>
      </c>
      <c r="I50" s="38">
        <f t="shared" si="2"/>
        <v>12223</v>
      </c>
      <c r="J50" s="31">
        <v>13692.0</v>
      </c>
      <c r="L50" s="32">
        <v>10815.0</v>
      </c>
      <c r="M50" s="31">
        <v>1349.0</v>
      </c>
      <c r="N50" s="33"/>
      <c r="O50" s="26"/>
      <c r="P50" s="7"/>
      <c r="Q50" s="26"/>
      <c r="R50" s="1"/>
      <c r="S50" s="1"/>
      <c r="T50" s="1"/>
      <c r="U50" s="1"/>
      <c r="V50" s="1"/>
      <c r="W50" s="1"/>
      <c r="X50" s="1"/>
      <c r="Y50" s="1"/>
      <c r="Z50" s="1"/>
    </row>
    <row r="51">
      <c r="A51" s="34"/>
      <c r="B51" s="34"/>
      <c r="C51" s="34"/>
      <c r="D51" s="35"/>
      <c r="E51" s="36">
        <v>5.0</v>
      </c>
      <c r="F51" s="44">
        <v>7557.0</v>
      </c>
      <c r="G51" s="37">
        <v>4100.0</v>
      </c>
      <c r="H51" s="37">
        <v>577.0</v>
      </c>
      <c r="I51" s="38">
        <f t="shared" si="2"/>
        <v>12234</v>
      </c>
      <c r="J51" s="39">
        <v>13692.0</v>
      </c>
      <c r="K51" s="40"/>
      <c r="L51" s="44">
        <v>10765.0</v>
      </c>
      <c r="M51" s="39">
        <v>1401.0</v>
      </c>
      <c r="N51" s="41"/>
      <c r="O51" s="34"/>
      <c r="P51" s="7"/>
      <c r="Q51" s="34"/>
      <c r="R51" s="1"/>
      <c r="S51" s="1"/>
      <c r="T51" s="1"/>
      <c r="U51" s="1"/>
      <c r="V51" s="1"/>
      <c r="W51" s="1"/>
      <c r="X51" s="1"/>
      <c r="Y51" s="1"/>
      <c r="Z51" s="1"/>
    </row>
    <row r="52">
      <c r="A52" s="3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0"/>
      <c r="B55" s="1"/>
      <c r="C55" s="1"/>
      <c r="D55" s="1"/>
      <c r="E55" s="2" t="s">
        <v>16</v>
      </c>
      <c r="F55" s="2" t="s">
        <v>17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3.25" customHeight="1">
      <c r="A56" s="30"/>
      <c r="B56" s="46" t="s">
        <v>39</v>
      </c>
      <c r="C56" s="2" t="s">
        <v>40</v>
      </c>
      <c r="D56" s="2">
        <v>16.0</v>
      </c>
      <c r="E56" s="1">
        <v>2477.0</v>
      </c>
      <c r="F56" s="1">
        <v>495.0</v>
      </c>
      <c r="G56" s="1">
        <v>5.0</v>
      </c>
      <c r="H56" s="1">
        <v>129199.99999999999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0"/>
      <c r="B57" s="47" t="s">
        <v>41</v>
      </c>
      <c r="C57" s="2" t="s">
        <v>42</v>
      </c>
      <c r="D57" s="2">
        <v>8.0</v>
      </c>
      <c r="E57" s="1">
        <v>2531.0</v>
      </c>
      <c r="F57" s="1">
        <v>534.0</v>
      </c>
      <c r="G57" s="1">
        <v>4.7</v>
      </c>
      <c r="H57" s="1">
        <v>633800.0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0"/>
      <c r="B58" s="47" t="s">
        <v>43</v>
      </c>
      <c r="C58" s="2" t="s">
        <v>44</v>
      </c>
      <c r="D58" s="2">
        <v>32.0</v>
      </c>
      <c r="E58" s="1">
        <v>1117.0</v>
      </c>
      <c r="F58" s="1">
        <v>352.0</v>
      </c>
      <c r="G58" s="1">
        <v>3.2</v>
      </c>
      <c r="H58" s="1">
        <v>352000.0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0"/>
      <c r="B59" s="47" t="s">
        <v>45</v>
      </c>
      <c r="C59" s="2" t="s">
        <v>46</v>
      </c>
      <c r="D59" s="2">
        <v>32.0</v>
      </c>
      <c r="E59" s="1">
        <v>1207.0</v>
      </c>
      <c r="F59" s="1">
        <v>355.0</v>
      </c>
      <c r="G59" s="1">
        <v>3.4</v>
      </c>
      <c r="H59" s="1">
        <v>275400.0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0"/>
      <c r="B60" s="47" t="s">
        <v>47</v>
      </c>
      <c r="C60" s="2" t="s">
        <v>48</v>
      </c>
      <c r="D60" s="2">
        <v>32.0</v>
      </c>
      <c r="E60" s="1">
        <v>1063.0</v>
      </c>
      <c r="F60" s="1">
        <v>248.0</v>
      </c>
      <c r="G60" s="1">
        <v>4.3</v>
      </c>
      <c r="H60" s="1">
        <v>207200.0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0"/>
      <c r="B61" s="47" t="s">
        <v>49</v>
      </c>
      <c r="C61" s="2" t="s">
        <v>50</v>
      </c>
      <c r="D61" s="2">
        <v>12.0</v>
      </c>
      <c r="E61" s="1">
        <v>3988.0</v>
      </c>
      <c r="F61" s="1">
        <v>1516.0</v>
      </c>
      <c r="G61" s="1">
        <v>2.6</v>
      </c>
      <c r="H61" s="1">
        <v>1273200.0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0"/>
      <c r="B62" s="47" t="s">
        <v>51</v>
      </c>
      <c r="C62" s="2" t="s">
        <v>52</v>
      </c>
      <c r="D62" s="2">
        <v>8.0</v>
      </c>
      <c r="E62" s="1">
        <v>7597.0</v>
      </c>
      <c r="F62" s="1">
        <v>2521.0</v>
      </c>
      <c r="G62" s="1">
        <v>3.0</v>
      </c>
      <c r="H62" s="1">
        <v>1124000.0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0"/>
      <c r="B63" s="47" t="s">
        <v>53</v>
      </c>
      <c r="C63" s="2" t="s">
        <v>54</v>
      </c>
      <c r="D63" s="2">
        <v>32.0</v>
      </c>
      <c r="E63" s="1">
        <v>1780.0</v>
      </c>
      <c r="F63" s="1">
        <v>553.0</v>
      </c>
      <c r="G63" s="1">
        <v>3.2</v>
      </c>
      <c r="H63" s="1">
        <v>348600.0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0"/>
      <c r="B64" s="47" t="s">
        <v>55</v>
      </c>
      <c r="C64" s="2" t="s">
        <v>56</v>
      </c>
      <c r="D64" s="2">
        <v>8.0</v>
      </c>
      <c r="E64" s="1">
        <v>11307.0</v>
      </c>
      <c r="F64" s="1">
        <v>1464.0</v>
      </c>
      <c r="G64" s="1">
        <v>7.7</v>
      </c>
      <c r="H64" s="1">
        <v>1.22218E7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0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0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0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0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0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0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0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0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0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0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0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0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0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0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0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0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0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0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0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0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0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0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0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0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0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0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0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0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0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0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0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0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0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0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0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0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0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0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0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0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0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0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0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0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0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0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0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0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0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0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0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0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0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0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0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0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0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0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0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0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0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0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0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0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0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0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0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0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0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0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0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0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0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0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0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0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0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0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0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0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0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0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0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0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0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0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0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0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0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0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0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0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0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0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0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0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0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0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0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0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0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0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0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0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0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0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0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0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0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0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0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0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0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0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0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0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0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0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0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0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0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0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0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0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0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0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0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0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0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0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0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0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0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0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0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0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0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0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0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0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0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0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0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0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0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0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0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0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0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0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0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0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0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0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0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0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0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0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0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0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0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0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0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0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0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0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0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0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0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0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0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0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0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0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0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0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0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0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0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0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0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0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0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0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0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0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0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0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0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0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0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0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0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0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0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0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0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0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0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0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0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0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0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0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0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0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0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0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0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0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0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0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0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0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0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0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0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0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0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0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0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0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0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0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0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0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0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0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0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0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0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0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0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0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0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0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0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0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0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0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0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0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0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0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0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0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0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0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0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0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0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0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0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0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0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0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0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0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0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0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0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0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0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0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0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0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0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0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0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0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0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0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0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0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0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0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0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0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0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0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0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0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0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0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0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0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0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0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0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0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0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0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0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0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0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0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0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0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0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0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0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0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0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0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0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0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0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0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0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0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0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0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0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0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0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0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0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0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0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0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0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0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0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0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0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0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0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0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0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0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0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0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0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0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0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0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0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0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0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0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0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0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0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0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0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0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0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0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0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0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0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0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0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0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0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0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0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0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0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0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0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0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0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0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0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0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0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0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0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0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0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0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0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0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0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0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0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0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0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0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0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0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0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0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0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0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0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0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0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0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0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0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0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0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0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0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0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0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0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0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0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0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0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0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0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0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0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0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0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0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0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0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0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0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0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0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0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0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0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0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0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0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0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0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0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0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0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0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0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0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0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0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0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0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0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0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0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0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0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0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0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0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0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0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0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0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0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0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0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0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0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0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0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0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0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0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0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0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0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0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0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0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0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0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0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0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0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0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0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0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0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0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0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0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0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0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0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0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0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0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0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0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0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0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0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0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0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0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0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0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0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0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0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0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0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0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0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0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0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0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0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0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0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0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0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0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0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0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0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0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0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0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0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0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0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0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0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0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0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0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0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0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0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0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0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0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0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0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0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0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0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0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0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0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0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0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0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0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0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0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0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0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0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0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0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0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0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0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0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0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0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0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0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0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0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0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0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0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0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0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0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0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0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0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0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0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0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0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0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0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0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0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0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0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0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0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0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0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0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0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0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0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0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0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0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0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0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0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0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0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0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0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0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0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0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0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0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0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0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0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0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0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0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0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0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0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0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0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0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0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0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0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0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0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0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0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0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0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0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0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0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0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0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0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0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0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0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0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0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0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0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0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0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0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0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0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0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0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0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0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0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0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0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0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0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0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0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0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0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0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0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0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0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0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0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0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0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0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0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0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0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0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0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0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0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0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0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0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0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0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0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0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0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0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0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0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0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0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0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0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0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0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0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0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0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0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0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0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0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0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0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0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0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0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0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0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0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0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0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0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0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0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0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0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0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0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0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0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0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0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0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0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0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0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0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0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0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0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0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0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0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0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0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0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0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0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0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0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0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0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0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0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0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0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0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0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0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0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0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0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0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0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0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0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0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0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0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0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0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0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0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0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0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0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0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0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0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0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0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0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0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0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0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0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0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0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0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0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0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0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0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0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0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0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0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0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0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0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7">
    <mergeCell ref="A22:A26"/>
    <mergeCell ref="B22:B26"/>
    <mergeCell ref="C22:C26"/>
    <mergeCell ref="D22:D26"/>
    <mergeCell ref="K22:K26"/>
    <mergeCell ref="N22:N26"/>
    <mergeCell ref="O22:O26"/>
    <mergeCell ref="A27:A31"/>
    <mergeCell ref="B27:B31"/>
    <mergeCell ref="C27:C31"/>
    <mergeCell ref="D27:D31"/>
    <mergeCell ref="K27:K31"/>
    <mergeCell ref="N27:N31"/>
    <mergeCell ref="O27:O31"/>
    <mergeCell ref="B32:B36"/>
    <mergeCell ref="C32:C36"/>
    <mergeCell ref="D32:D36"/>
    <mergeCell ref="K32:K36"/>
    <mergeCell ref="N32:N36"/>
    <mergeCell ref="O32:O36"/>
    <mergeCell ref="Q32:Q36"/>
    <mergeCell ref="O37:O41"/>
    <mergeCell ref="Q37:Q41"/>
    <mergeCell ref="A32:A36"/>
    <mergeCell ref="A37:A41"/>
    <mergeCell ref="B37:B41"/>
    <mergeCell ref="C37:C41"/>
    <mergeCell ref="D37:D41"/>
    <mergeCell ref="K37:K41"/>
    <mergeCell ref="N37:N41"/>
    <mergeCell ref="B42:B46"/>
    <mergeCell ref="C42:C46"/>
    <mergeCell ref="D42:D46"/>
    <mergeCell ref="K42:K46"/>
    <mergeCell ref="N42:N46"/>
    <mergeCell ref="O42:O46"/>
    <mergeCell ref="Q42:Q46"/>
    <mergeCell ref="O47:O51"/>
    <mergeCell ref="Q47:Q51"/>
    <mergeCell ref="A42:A46"/>
    <mergeCell ref="A47:A51"/>
    <mergeCell ref="B47:B51"/>
    <mergeCell ref="C47:C51"/>
    <mergeCell ref="D47:D51"/>
    <mergeCell ref="K47:K51"/>
    <mergeCell ref="N47:N51"/>
    <mergeCell ref="N7:N11"/>
    <mergeCell ref="O7:O11"/>
    <mergeCell ref="Q7:Q11"/>
    <mergeCell ref="D5:K5"/>
    <mergeCell ref="L5:O5"/>
    <mergeCell ref="A7:A11"/>
    <mergeCell ref="B7:B11"/>
    <mergeCell ref="C7:C11"/>
    <mergeCell ref="D7:D11"/>
    <mergeCell ref="K7:K11"/>
    <mergeCell ref="B12:B16"/>
    <mergeCell ref="C12:C16"/>
    <mergeCell ref="D12:D16"/>
    <mergeCell ref="K12:K16"/>
    <mergeCell ref="N12:N16"/>
    <mergeCell ref="O12:O16"/>
    <mergeCell ref="Q12:Q16"/>
    <mergeCell ref="O17:O21"/>
    <mergeCell ref="Q17:Q21"/>
    <mergeCell ref="A12:A16"/>
    <mergeCell ref="A17:A21"/>
    <mergeCell ref="B17:B21"/>
    <mergeCell ref="C17:C21"/>
    <mergeCell ref="D17:D21"/>
    <mergeCell ref="K17:K21"/>
    <mergeCell ref="N17:N21"/>
    <mergeCell ref="Q22:Q26"/>
    <mergeCell ref="S22:T26"/>
    <mergeCell ref="Q27:Q31"/>
    <mergeCell ref="S27:T31"/>
    <mergeCell ref="U27:V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8.63"/>
    <col customWidth="1" min="3" max="3" width="55.0"/>
    <col customWidth="1" min="4" max="4" width="16.75"/>
    <col customWidth="1" min="5" max="5" width="32.13"/>
    <col customWidth="1" min="6" max="6" width="34.38"/>
    <col customWidth="1" min="7" max="7" width="25.75"/>
    <col customWidth="1" min="8" max="8" width="12.5"/>
    <col customWidth="1" min="9" max="9" width="13.13"/>
    <col customWidth="1" min="10" max="10" width="8.38"/>
    <col customWidth="1" min="11" max="11" width="15.38"/>
  </cols>
  <sheetData>
    <row r="1">
      <c r="A1" s="48" t="s">
        <v>57</v>
      </c>
      <c r="B1" s="48" t="s">
        <v>4</v>
      </c>
      <c r="C1" s="48" t="s">
        <v>58</v>
      </c>
      <c r="D1" s="49" t="s">
        <v>59</v>
      </c>
      <c r="E1" s="48" t="s">
        <v>60</v>
      </c>
      <c r="F1" s="48" t="s">
        <v>6</v>
      </c>
      <c r="G1" s="48" t="s">
        <v>61</v>
      </c>
      <c r="H1" s="48" t="s">
        <v>14</v>
      </c>
      <c r="I1" s="48" t="s">
        <v>15</v>
      </c>
      <c r="J1" s="48" t="s">
        <v>62</v>
      </c>
      <c r="K1" s="48" t="s">
        <v>63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0" t="str">
        <f t="shared" ref="A2:A10" si="1">"D" &amp; ROW(A1)</f>
        <v>D1</v>
      </c>
      <c r="B2" s="51" t="str">
        <f>'Бенчмарк'!B56</f>
        <v>Устройство 1 (Laptop) x86-64</v>
      </c>
      <c r="C2" s="51" t="str">
        <f>'Бенчмарк'!C56</f>
        <v>12th Gen Intel(R) Core(TM) i5-12450H x86-64</v>
      </c>
      <c r="D2" s="49" t="s">
        <v>64</v>
      </c>
      <c r="E2" s="52">
        <v>12.0</v>
      </c>
      <c r="F2" s="51">
        <f>'Бенчмарк'!D56</f>
        <v>16</v>
      </c>
      <c r="G2" s="53" t="s">
        <v>65</v>
      </c>
      <c r="H2" s="54">
        <f>'Бенчмарк'!E56</f>
        <v>2477</v>
      </c>
      <c r="I2" s="54">
        <f>'Бенчмарк'!F56</f>
        <v>495</v>
      </c>
      <c r="J2" s="54">
        <f>'Бенчмарк'!G56</f>
        <v>5</v>
      </c>
      <c r="K2" s="54">
        <f>'Бенчмарк'!H56</f>
        <v>129200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0" t="str">
        <f t="shared" si="1"/>
        <v>D2</v>
      </c>
      <c r="B3" s="51" t="str">
        <f>'Бенчмарк'!B57</f>
        <v>устройство 2 (Desktop) x86-64</v>
      </c>
      <c r="C3" s="51" t="str">
        <f>'Бенчмарк'!C57</f>
        <v>AMD FX(tm)-8300 Eight-Core Processor x86-64</v>
      </c>
      <c r="D3" s="49" t="s">
        <v>64</v>
      </c>
      <c r="E3" s="2">
        <v>8.0</v>
      </c>
      <c r="F3" s="51">
        <f>'Бенчмарк'!D57</f>
        <v>8</v>
      </c>
      <c r="G3" s="53" t="s">
        <v>66</v>
      </c>
      <c r="H3" s="54">
        <f>'Бенчмарк'!E57</f>
        <v>2531</v>
      </c>
      <c r="I3" s="54">
        <f>'Бенчмарк'!F57</f>
        <v>534</v>
      </c>
      <c r="J3" s="54">
        <f>'Бенчмарк'!G57</f>
        <v>4.7</v>
      </c>
      <c r="K3" s="54">
        <f>'Бенчмарк'!H57</f>
        <v>633800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0" t="str">
        <f t="shared" si="1"/>
        <v>D3</v>
      </c>
      <c r="B4" s="51" t="str">
        <f>'Бенчмарк'!B58</f>
        <v>устройство 3 (Desktop) x86-64</v>
      </c>
      <c r="C4" s="51" t="str">
        <f>'Бенчмарк'!C58</f>
        <v>AMD Ryzen 5 3500X 6-Core Processor x86-64</v>
      </c>
      <c r="D4" s="49" t="s">
        <v>64</v>
      </c>
      <c r="E4" s="2">
        <v>32.0</v>
      </c>
      <c r="F4" s="51">
        <f>'Бенчмарк'!D58</f>
        <v>32</v>
      </c>
      <c r="G4" s="53" t="s">
        <v>65</v>
      </c>
      <c r="H4" s="54">
        <f>'Бенчмарк'!E58</f>
        <v>1117</v>
      </c>
      <c r="I4" s="54">
        <f>'Бенчмарк'!F58</f>
        <v>352</v>
      </c>
      <c r="J4" s="54">
        <f>'Бенчмарк'!G58</f>
        <v>3.2</v>
      </c>
      <c r="K4" s="54">
        <f>'Бенчмарк'!H58</f>
        <v>352000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0" t="str">
        <f t="shared" si="1"/>
        <v>D4</v>
      </c>
      <c r="B5" s="51" t="str">
        <f>'Бенчмарк'!B59</f>
        <v>устройство 4 (Laptop) x86-64</v>
      </c>
      <c r="C5" s="51" t="str">
        <f>'Бенчмарк'!C59</f>
        <v>AMD Ryzen 7 5800H with Radeon Graphics x86-64</v>
      </c>
      <c r="D5" s="49" t="s">
        <v>64</v>
      </c>
      <c r="E5" s="2">
        <v>16.0</v>
      </c>
      <c r="F5" s="51">
        <f>'Бенчмарк'!D59</f>
        <v>32</v>
      </c>
      <c r="G5" s="53" t="s">
        <v>65</v>
      </c>
      <c r="H5" s="54">
        <f>'Бенчмарк'!E59</f>
        <v>1207</v>
      </c>
      <c r="I5" s="54">
        <f>'Бенчмарк'!F59</f>
        <v>355</v>
      </c>
      <c r="J5" s="54">
        <f>'Бенчмарк'!G59</f>
        <v>3.4</v>
      </c>
      <c r="K5" s="54">
        <f>'Бенчмарк'!H59</f>
        <v>275400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0" t="str">
        <f t="shared" si="1"/>
        <v>D5</v>
      </c>
      <c r="B6" s="51" t="str">
        <f>'Бенчмарк'!B60</f>
        <v>устройство 5 (Server) x86-64</v>
      </c>
      <c r="C6" s="51" t="str">
        <f>'Бенчмарк'!C60</f>
        <v>13th Gen Intel(R) Core(TM) i5-13400 x86-64</v>
      </c>
      <c r="D6" s="49" t="s">
        <v>64</v>
      </c>
      <c r="E6" s="2">
        <v>20.0</v>
      </c>
      <c r="F6" s="51">
        <f>'Бенчмарк'!D60</f>
        <v>32</v>
      </c>
      <c r="G6" s="53" t="s">
        <v>67</v>
      </c>
      <c r="H6" s="54">
        <f>'Бенчмарк'!E60</f>
        <v>1063</v>
      </c>
      <c r="I6" s="54">
        <f>'Бенчмарк'!F60</f>
        <v>248</v>
      </c>
      <c r="J6" s="54">
        <f>'Бенчмарк'!G60</f>
        <v>4.3</v>
      </c>
      <c r="K6" s="54">
        <f>'Бенчмарк'!H60</f>
        <v>207200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0" t="str">
        <f t="shared" si="1"/>
        <v>D6</v>
      </c>
      <c r="B7" s="51" t="str">
        <f>'Бенчмарк'!B61</f>
        <v>устройство 6 (Tablet) ARMv8.2‑A</v>
      </c>
      <c r="C7" s="51" t="str">
        <f>'Бенчмарк'!C61</f>
        <v>Samsung Exynos 1380, 8-ядерный, 2.4 ГГц, 5 нм, Android 16 ARMv8.2‑A</v>
      </c>
      <c r="D7" s="49" t="s">
        <v>68</v>
      </c>
      <c r="E7" s="2">
        <v>0.0</v>
      </c>
      <c r="F7" s="51">
        <f>'Бенчмарк'!D61</f>
        <v>12</v>
      </c>
      <c r="G7" s="53" t="s">
        <v>69</v>
      </c>
      <c r="H7" s="54">
        <f>'Бенчмарк'!E61</f>
        <v>3988</v>
      </c>
      <c r="I7" s="54">
        <f>'Бенчмарк'!F61</f>
        <v>1516</v>
      </c>
      <c r="J7" s="54">
        <f>'Бенчмарк'!G61</f>
        <v>2.6</v>
      </c>
      <c r="K7" s="54">
        <f>'Бенчмарк'!H61</f>
        <v>1273200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0" t="str">
        <f t="shared" si="1"/>
        <v>D7</v>
      </c>
      <c r="B8" s="51" t="str">
        <f>'Бенчмарк'!B62</f>
        <v>устройство 7 (Phone) ARMv8.2‑A</v>
      </c>
      <c r="C8" s="51" t="str">
        <f>'Бенчмарк'!C62</f>
        <v>Qualcomm Snapdragon 870 Octa-Core, Android 14 ARMv8.2‑A</v>
      </c>
      <c r="D8" s="49" t="s">
        <v>68</v>
      </c>
      <c r="E8" s="2">
        <v>4.0</v>
      </c>
      <c r="F8" s="51">
        <f>'Бенчмарк'!D62</f>
        <v>8</v>
      </c>
      <c r="G8" s="53" t="s">
        <v>69</v>
      </c>
      <c r="H8" s="54">
        <f>'Бенчмарк'!E62</f>
        <v>7597</v>
      </c>
      <c r="I8" s="54">
        <f>'Бенчмарк'!F62</f>
        <v>2521</v>
      </c>
      <c r="J8" s="54">
        <f>'Бенчмарк'!G62</f>
        <v>3</v>
      </c>
      <c r="K8" s="54">
        <f>'Бенчмарк'!H62</f>
        <v>1124000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0" t="str">
        <f t="shared" si="1"/>
        <v>D8</v>
      </c>
      <c r="B9" s="51" t="str">
        <f>'Бенчмарк'!B63</f>
        <v>устройство 8 (Laptop) x86-64</v>
      </c>
      <c r="C9" s="51" t="str">
        <f>'Бенчмарк'!C63</f>
        <v>Intel Core Ultra 7 x86-64</v>
      </c>
      <c r="D9" s="49" t="s">
        <v>64</v>
      </c>
      <c r="E9" s="2">
        <v>24.0</v>
      </c>
      <c r="F9" s="51">
        <f>'Бенчмарк'!D63</f>
        <v>32</v>
      </c>
      <c r="G9" s="53" t="s">
        <v>65</v>
      </c>
      <c r="H9" s="54">
        <f>'Бенчмарк'!E63</f>
        <v>1780</v>
      </c>
      <c r="I9" s="54">
        <f>'Бенчмарк'!F63</f>
        <v>553</v>
      </c>
      <c r="J9" s="54">
        <f>'Бенчмарк'!G63</f>
        <v>3.2</v>
      </c>
      <c r="K9" s="54">
        <f>'Бенчмарк'!H63</f>
        <v>348600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0" t="str">
        <f t="shared" si="1"/>
        <v>D9</v>
      </c>
      <c r="B10" s="51" t="str">
        <f>'Бенчмарк'!B64</f>
        <v>устройство 9 (Desktop) x86-64</v>
      </c>
      <c r="C10" s="51" t="str">
        <f>'Бенчмарк'!C64</f>
        <v>Intel(R) Core(TM) i5-9400 CPU @ 2,90 GHz x86-64</v>
      </c>
      <c r="D10" s="49" t="s">
        <v>64</v>
      </c>
      <c r="E10" s="2">
        <v>9.0</v>
      </c>
      <c r="F10" s="51">
        <f>'Бенчмарк'!D64</f>
        <v>8</v>
      </c>
      <c r="G10" s="53" t="s">
        <v>70</v>
      </c>
      <c r="H10" s="54">
        <f>'Бенчмарк'!E64</f>
        <v>11307</v>
      </c>
      <c r="I10" s="54">
        <f>'Бенчмарк'!F64</f>
        <v>1464</v>
      </c>
      <c r="J10" s="54">
        <f>'Бенчмарк'!G64</f>
        <v>7.7</v>
      </c>
      <c r="K10" s="54">
        <f>'Бенчмарк'!H64</f>
        <v>12221800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0"/>
      <c r="B11" s="50" t="str">
        <f>'Бенчмарк'!B65</f>
        <v/>
      </c>
      <c r="C11" s="50"/>
      <c r="D11" s="50"/>
      <c r="E11" s="50"/>
      <c r="F11" s="50"/>
      <c r="G11" s="50"/>
      <c r="H11" s="50"/>
      <c r="I11" s="50"/>
      <c r="J11" s="5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0"/>
      <c r="B12" s="50" t="str">
        <f>'Бенчмарк'!B66</f>
        <v/>
      </c>
      <c r="C12" s="50"/>
      <c r="D12" s="50"/>
      <c r="E12" s="50"/>
      <c r="F12" s="50"/>
      <c r="G12" s="50"/>
      <c r="H12" s="50"/>
      <c r="I12" s="50"/>
      <c r="J12" s="5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55" t="s">
        <v>71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4.25" customHeight="1">
      <c r="A17" s="1"/>
      <c r="B17" s="52" t="s">
        <v>72</v>
      </c>
      <c r="C17" s="56">
        <f>CORREL(E2:E10, J2:J10)</f>
        <v>-0.1314958458</v>
      </c>
      <c r="D17" s="57" t="s">
        <v>73</v>
      </c>
      <c r="F17" s="1"/>
      <c r="G17" s="49" t="s">
        <v>74</v>
      </c>
      <c r="H17" s="54">
        <f>AVERAGE(J2:J10)</f>
        <v>4.122222222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6.75" customHeight="1">
      <c r="A18" s="1"/>
      <c r="B18" s="49" t="s">
        <v>75</v>
      </c>
      <c r="C18" s="1">
        <f>CORREL(E2:E10, H2:H10)</f>
        <v>-0.5518153411</v>
      </c>
      <c r="D18" s="57" t="s">
        <v>76</v>
      </c>
      <c r="F18" s="1"/>
      <c r="G18" s="49" t="s">
        <v>77</v>
      </c>
      <c r="H18" s="54">
        <f>GEOMEAN(J2:J10)</f>
        <v>3.905310897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9" t="s">
        <v>78</v>
      </c>
      <c r="C19" s="1">
        <f>CORREL(F2:F10, J2:J10)</f>
        <v>-0.3848929694</v>
      </c>
      <c r="D19" s="57" t="s">
        <v>79</v>
      </c>
      <c r="F19" s="1"/>
      <c r="G19" s="49" t="s">
        <v>80</v>
      </c>
      <c r="H19" s="1">
        <f>MEDIAN(J2:J10)</f>
        <v>3.4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69.0" customHeight="1">
      <c r="A20" s="1"/>
      <c r="B20" s="49" t="s">
        <v>81</v>
      </c>
      <c r="C20" s="1">
        <f>CORREL(F2:F10, H2:H10)</f>
        <v>-0.7203298335</v>
      </c>
      <c r="D20" s="57" t="s">
        <v>82</v>
      </c>
      <c r="F20" s="1"/>
      <c r="G20" s="49" t="s">
        <v>83</v>
      </c>
      <c r="H20" s="54">
        <f>_xlfn.STDEV.P(J2:J10)</f>
        <v>1.480823928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5.75" customHeight="1">
      <c r="A25" s="1"/>
      <c r="B25" s="58" t="s">
        <v>84</v>
      </c>
      <c r="C25" s="1"/>
      <c r="D25" s="1"/>
      <c r="E25" s="1"/>
      <c r="G25" s="59" t="s">
        <v>85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2.0" customHeight="1">
      <c r="A26" s="1"/>
      <c r="B26" s="60" t="s">
        <v>84</v>
      </c>
      <c r="C26" s="54">
        <f>POWER(J2*J3*J4*J5*J6*J9*J10,1/7)</f>
        <v>4.297916642</v>
      </c>
      <c r="D26" s="1"/>
      <c r="E26" s="1"/>
      <c r="F26" s="61" t="s">
        <v>86</v>
      </c>
      <c r="G26" s="62">
        <f>(H20/H17)*100%</f>
        <v>0.3592295243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62.25" customHeight="1">
      <c r="A27" s="1"/>
      <c r="B27" s="60" t="s">
        <v>87</v>
      </c>
      <c r="C27" s="54">
        <f>POWER(J7*J8,1/2)</f>
        <v>2.792848009</v>
      </c>
      <c r="D27" s="1"/>
      <c r="E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75.75" customHeight="1">
      <c r="A28" s="1"/>
      <c r="B28" s="2" t="s">
        <v>88</v>
      </c>
      <c r="C28" s="54">
        <f>C26/C27</f>
        <v>1.538901017</v>
      </c>
      <c r="D28" s="57" t="s">
        <v>89</v>
      </c>
      <c r="F28" s="57" t="s">
        <v>90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81.75" customHeight="1">
      <c r="A29" s="1"/>
      <c r="B29" s="63" t="s">
        <v>91</v>
      </c>
      <c r="C29" s="1">
        <f>(C28-1)*100</f>
        <v>53.89010173</v>
      </c>
      <c r="D29" s="2" t="s">
        <v>92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1.5" customHeight="1">
      <c r="A36" s="1"/>
      <c r="B36" s="2" t="s">
        <v>93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6:E16"/>
    <mergeCell ref="D17:E17"/>
    <mergeCell ref="D18:E18"/>
    <mergeCell ref="D19:E19"/>
    <mergeCell ref="D20:E20"/>
    <mergeCell ref="D28:E28"/>
    <mergeCell ref="F28:G29"/>
    <mergeCell ref="D29:E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